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Leong, Patrick" algorithmName="SHA-512" hashValue="PO2Kb02Cb4/+s6hQolfbLgxoJLVjcb2XB5uBZCemUNbrCMAfRsARP6y/UjaOZ/vjHwRa7U7pBxdP/H2g52M/Vg==" saltValue="g447r6OzKayT/gFn4dk9Pg==" spinCount="10000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I:\10-Sales\Personal Folder\Admin &amp; Assistant Team\Patrick Leong\Booking Tools - BR &amp; CommentPad\"/>
    </mc:Choice>
  </mc:AlternateContent>
  <bookViews>
    <workbookView xWindow="0" yWindow="0" windowWidth="21600" windowHeight="9135"/>
  </bookViews>
  <sheets>
    <sheet name="BK Info" sheetId="12" r:id="rId1"/>
    <sheet name="BR RoomType" sheetId="14" state="hidden" r:id="rId2"/>
    <sheet name="Rm Table" sheetId="13" r:id="rId3"/>
    <sheet name="Event Table" sheetId="9" r:id="rId4"/>
    <sheet name="VM Room" sheetId="1" r:id="rId5"/>
    <sheet name="PA Room" sheetId="4" r:id="rId6"/>
    <sheet name="CM Room" sheetId="5" r:id="rId7"/>
    <sheet name="HI Room" sheetId="6" r:id="rId8"/>
    <sheet name="Events" sheetId="7" r:id="rId9"/>
    <sheet name="CommentPad" sheetId="2" r:id="rId10"/>
    <sheet name="Sheraton" sheetId="3" r:id="rId11"/>
    <sheet name="Property" sheetId="11" state="hidden" r:id="rId12"/>
  </sheets>
  <definedNames>
    <definedName name="_xlnm._FilterDatabase" localSheetId="3" hidden="1">'Event Table'!$A$1:$AB$370</definedName>
    <definedName name="_xlnm._FilterDatabase" localSheetId="11" hidden="1">Property!$A$1:$B$2270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12" l="1"/>
  <c r="F35" i="12"/>
  <c r="F36" i="12"/>
  <c r="E34" i="12"/>
  <c r="E35" i="12"/>
  <c r="E36" i="12"/>
  <c r="G33" i="12" l="1"/>
  <c r="B32" i="12" l="1"/>
  <c r="F32" i="12" l="1"/>
  <c r="AF60" i="4" l="1"/>
  <c r="AE60" i="4"/>
  <c r="AD60" i="4"/>
  <c r="AC60" i="4"/>
  <c r="AB60" i="4"/>
  <c r="AA60" i="4"/>
  <c r="N60" i="4"/>
  <c r="M60" i="4"/>
  <c r="D60" i="4"/>
  <c r="AF59" i="4"/>
  <c r="AE59" i="4"/>
  <c r="AD59" i="4"/>
  <c r="AC59" i="4"/>
  <c r="AB59" i="4"/>
  <c r="AA59" i="4"/>
  <c r="M59" i="4"/>
  <c r="D59" i="4"/>
  <c r="N59" i="4" s="1"/>
  <c r="AF58" i="4"/>
  <c r="AE58" i="4"/>
  <c r="AD58" i="4"/>
  <c r="AC58" i="4"/>
  <c r="AB58" i="4"/>
  <c r="AA58" i="4"/>
  <c r="M58" i="4"/>
  <c r="D58" i="4"/>
  <c r="N58" i="4" s="1"/>
  <c r="AF57" i="4"/>
  <c r="AE57" i="4"/>
  <c r="AD57" i="4"/>
  <c r="AC57" i="4"/>
  <c r="AB57" i="4"/>
  <c r="AA57" i="4"/>
  <c r="M57" i="4"/>
  <c r="D57" i="4"/>
  <c r="N57" i="4" s="1"/>
  <c r="AF56" i="4"/>
  <c r="AE56" i="4"/>
  <c r="AD56" i="4"/>
  <c r="AC56" i="4"/>
  <c r="AB56" i="4"/>
  <c r="AA56" i="4"/>
  <c r="M56" i="4"/>
  <c r="D56" i="4"/>
  <c r="N56" i="4" s="1"/>
  <c r="AF60" i="5"/>
  <c r="AE60" i="5"/>
  <c r="AD60" i="5"/>
  <c r="AC60" i="5"/>
  <c r="AB60" i="5"/>
  <c r="AA60" i="5"/>
  <c r="M60" i="5"/>
  <c r="D60" i="5"/>
  <c r="N60" i="5" s="1"/>
  <c r="AF59" i="5"/>
  <c r="AE59" i="5"/>
  <c r="AD59" i="5"/>
  <c r="AC59" i="5"/>
  <c r="AB59" i="5"/>
  <c r="AA59" i="5"/>
  <c r="M59" i="5"/>
  <c r="D59" i="5"/>
  <c r="N59" i="5" s="1"/>
  <c r="AF58" i="5"/>
  <c r="AE58" i="5"/>
  <c r="AD58" i="5"/>
  <c r="AC58" i="5"/>
  <c r="AB58" i="5"/>
  <c r="AA58" i="5"/>
  <c r="M58" i="5"/>
  <c r="D58" i="5"/>
  <c r="N58" i="5" s="1"/>
  <c r="AF57" i="5"/>
  <c r="AE57" i="5"/>
  <c r="AD57" i="5"/>
  <c r="AC57" i="5"/>
  <c r="AB57" i="5"/>
  <c r="AA57" i="5"/>
  <c r="M57" i="5"/>
  <c r="D57" i="5"/>
  <c r="N57" i="5" s="1"/>
  <c r="AF56" i="5"/>
  <c r="AE56" i="5"/>
  <c r="AD56" i="5"/>
  <c r="AC56" i="5"/>
  <c r="AB56" i="5"/>
  <c r="AA56" i="5"/>
  <c r="M56" i="5"/>
  <c r="D56" i="5"/>
  <c r="N56" i="5" s="1"/>
  <c r="AF60" i="6"/>
  <c r="AE60" i="6"/>
  <c r="AD60" i="6"/>
  <c r="AC60" i="6"/>
  <c r="AB60" i="6"/>
  <c r="AA60" i="6"/>
  <c r="M60" i="6"/>
  <c r="D60" i="6"/>
  <c r="N60" i="6" s="1"/>
  <c r="AF59" i="6"/>
  <c r="AE59" i="6"/>
  <c r="AD59" i="6"/>
  <c r="AC59" i="6"/>
  <c r="AB59" i="6"/>
  <c r="AA59" i="6"/>
  <c r="M59" i="6"/>
  <c r="D59" i="6"/>
  <c r="N59" i="6" s="1"/>
  <c r="AF58" i="6"/>
  <c r="AE58" i="6"/>
  <c r="AD58" i="6"/>
  <c r="AC58" i="6"/>
  <c r="AB58" i="6"/>
  <c r="AA58" i="6"/>
  <c r="M58" i="6"/>
  <c r="D58" i="6"/>
  <c r="N58" i="6" s="1"/>
  <c r="AF57" i="6"/>
  <c r="AE57" i="6"/>
  <c r="AD57" i="6"/>
  <c r="AC57" i="6"/>
  <c r="AB57" i="6"/>
  <c r="AA57" i="6"/>
  <c r="M57" i="6"/>
  <c r="D57" i="6"/>
  <c r="N57" i="6" s="1"/>
  <c r="AF56" i="6"/>
  <c r="AE56" i="6"/>
  <c r="AD56" i="6"/>
  <c r="AC56" i="6"/>
  <c r="AB56" i="6"/>
  <c r="AA56" i="6"/>
  <c r="M56" i="6"/>
  <c r="D56" i="6"/>
  <c r="N56" i="6" s="1"/>
  <c r="AF60" i="1"/>
  <c r="AE60" i="1"/>
  <c r="AD60" i="1"/>
  <c r="AC60" i="1"/>
  <c r="AB60" i="1"/>
  <c r="AA60" i="1"/>
  <c r="M60" i="1"/>
  <c r="D60" i="1"/>
  <c r="N60" i="1" s="1"/>
  <c r="AF59" i="1"/>
  <c r="AE59" i="1"/>
  <c r="AD59" i="1"/>
  <c r="AC59" i="1"/>
  <c r="AB59" i="1"/>
  <c r="AA59" i="1"/>
  <c r="M59" i="1"/>
  <c r="D59" i="1"/>
  <c r="N59" i="1" s="1"/>
  <c r="AF58" i="1"/>
  <c r="AE58" i="1"/>
  <c r="AD58" i="1"/>
  <c r="AC58" i="1"/>
  <c r="AB58" i="1"/>
  <c r="AA58" i="1"/>
  <c r="M58" i="1"/>
  <c r="D58" i="1"/>
  <c r="N58" i="1" s="1"/>
  <c r="AF57" i="1"/>
  <c r="AE57" i="1"/>
  <c r="AD57" i="1"/>
  <c r="AC57" i="1"/>
  <c r="AB57" i="1"/>
  <c r="AA57" i="1"/>
  <c r="M57" i="1"/>
  <c r="D57" i="1"/>
  <c r="N57" i="1" s="1"/>
  <c r="AF56" i="1"/>
  <c r="AE56" i="1"/>
  <c r="AD56" i="1"/>
  <c r="AC56" i="1"/>
  <c r="AB56" i="1"/>
  <c r="AA56" i="1"/>
  <c r="M56" i="1"/>
  <c r="D56" i="1"/>
  <c r="N56" i="1" s="1"/>
  <c r="AF53" i="4"/>
  <c r="AE53" i="4"/>
  <c r="AD53" i="4"/>
  <c r="AC53" i="4"/>
  <c r="AB53" i="4"/>
  <c r="AA53" i="4"/>
  <c r="M53" i="4"/>
  <c r="D53" i="4"/>
  <c r="N53" i="4" s="1"/>
  <c r="AF53" i="5"/>
  <c r="AE53" i="5"/>
  <c r="AD53" i="5"/>
  <c r="AC53" i="5"/>
  <c r="AB53" i="5"/>
  <c r="AA53" i="5"/>
  <c r="M53" i="5"/>
  <c r="D53" i="5"/>
  <c r="N53" i="5" s="1"/>
  <c r="AF53" i="6"/>
  <c r="AE53" i="6"/>
  <c r="AD53" i="6"/>
  <c r="AC53" i="6"/>
  <c r="AB53" i="6"/>
  <c r="AA53" i="6"/>
  <c r="M53" i="6"/>
  <c r="D53" i="6"/>
  <c r="N53" i="6" s="1"/>
  <c r="AF53" i="1"/>
  <c r="AE53" i="1"/>
  <c r="AD53" i="1"/>
  <c r="AC53" i="1"/>
  <c r="AB53" i="1"/>
  <c r="AA53" i="1"/>
  <c r="M53" i="1"/>
  <c r="D53" i="1"/>
  <c r="N53" i="1" s="1"/>
  <c r="AF52" i="4"/>
  <c r="AE52" i="4"/>
  <c r="AD52" i="4"/>
  <c r="AC52" i="4"/>
  <c r="AB52" i="4"/>
  <c r="AA52" i="4"/>
  <c r="M52" i="4"/>
  <c r="D52" i="4"/>
  <c r="N52" i="4" s="1"/>
  <c r="AF51" i="4"/>
  <c r="AE51" i="4"/>
  <c r="AD51" i="4"/>
  <c r="AC51" i="4"/>
  <c r="AB51" i="4"/>
  <c r="AA51" i="4"/>
  <c r="M51" i="4"/>
  <c r="D51" i="4"/>
  <c r="N51" i="4" s="1"/>
  <c r="AF50" i="4"/>
  <c r="AE50" i="4"/>
  <c r="AD50" i="4"/>
  <c r="AC50" i="4"/>
  <c r="AB50" i="4"/>
  <c r="AA50" i="4"/>
  <c r="M50" i="4"/>
  <c r="D50" i="4"/>
  <c r="N50" i="4" s="1"/>
  <c r="AF49" i="4"/>
  <c r="AE49" i="4"/>
  <c r="AD49" i="4"/>
  <c r="AC49" i="4"/>
  <c r="AB49" i="4"/>
  <c r="AA49" i="4"/>
  <c r="M49" i="4"/>
  <c r="D49" i="4"/>
  <c r="N49" i="4" s="1"/>
  <c r="AF48" i="4"/>
  <c r="AE48" i="4"/>
  <c r="AD48" i="4"/>
  <c r="AC48" i="4"/>
  <c r="AB48" i="4"/>
  <c r="AA48" i="4"/>
  <c r="M48" i="4"/>
  <c r="D48" i="4"/>
  <c r="N48" i="4" s="1"/>
  <c r="AF47" i="4"/>
  <c r="AE47" i="4"/>
  <c r="AD47" i="4"/>
  <c r="AC47" i="4"/>
  <c r="AB47" i="4"/>
  <c r="AA47" i="4"/>
  <c r="M47" i="4"/>
  <c r="D47" i="4"/>
  <c r="N47" i="4" s="1"/>
  <c r="AF46" i="4"/>
  <c r="AE46" i="4"/>
  <c r="AD46" i="4"/>
  <c r="AC46" i="4"/>
  <c r="AB46" i="4"/>
  <c r="AA46" i="4"/>
  <c r="M46" i="4"/>
  <c r="D46" i="4"/>
  <c r="N46" i="4" s="1"/>
  <c r="AF45" i="4"/>
  <c r="AE45" i="4"/>
  <c r="AD45" i="4"/>
  <c r="AC45" i="4"/>
  <c r="AB45" i="4"/>
  <c r="AA45" i="4"/>
  <c r="M45" i="4"/>
  <c r="D45" i="4"/>
  <c r="N45" i="4" s="1"/>
  <c r="AF44" i="4"/>
  <c r="AE44" i="4"/>
  <c r="AD44" i="4"/>
  <c r="AC44" i="4"/>
  <c r="AB44" i="4"/>
  <c r="AA44" i="4"/>
  <c r="M44" i="4"/>
  <c r="D44" i="4"/>
  <c r="N44" i="4" s="1"/>
  <c r="AF52" i="5"/>
  <c r="AE52" i="5"/>
  <c r="AD52" i="5"/>
  <c r="AC52" i="5"/>
  <c r="AB52" i="5"/>
  <c r="AA52" i="5"/>
  <c r="M52" i="5"/>
  <c r="D52" i="5"/>
  <c r="N52" i="5" s="1"/>
  <c r="AF51" i="5"/>
  <c r="AE51" i="5"/>
  <c r="AD51" i="5"/>
  <c r="AC51" i="5"/>
  <c r="AB51" i="5"/>
  <c r="AA51" i="5"/>
  <c r="M51" i="5"/>
  <c r="D51" i="5"/>
  <c r="N51" i="5" s="1"/>
  <c r="AF50" i="5"/>
  <c r="AE50" i="5"/>
  <c r="AD50" i="5"/>
  <c r="AC50" i="5"/>
  <c r="AB50" i="5"/>
  <c r="AA50" i="5"/>
  <c r="M50" i="5"/>
  <c r="D50" i="5"/>
  <c r="N50" i="5" s="1"/>
  <c r="AF49" i="5"/>
  <c r="AE49" i="5"/>
  <c r="AD49" i="5"/>
  <c r="AC49" i="5"/>
  <c r="AB49" i="5"/>
  <c r="AA49" i="5"/>
  <c r="M49" i="5"/>
  <c r="D49" i="5"/>
  <c r="N49" i="5" s="1"/>
  <c r="AF48" i="5"/>
  <c r="AE48" i="5"/>
  <c r="AD48" i="5"/>
  <c r="AC48" i="5"/>
  <c r="AB48" i="5"/>
  <c r="AA48" i="5"/>
  <c r="M48" i="5"/>
  <c r="D48" i="5"/>
  <c r="N48" i="5" s="1"/>
  <c r="AF47" i="5"/>
  <c r="AE47" i="5"/>
  <c r="AD47" i="5"/>
  <c r="AC47" i="5"/>
  <c r="AB47" i="5"/>
  <c r="AA47" i="5"/>
  <c r="M47" i="5"/>
  <c r="D47" i="5"/>
  <c r="N47" i="5" s="1"/>
  <c r="AF46" i="5"/>
  <c r="AE46" i="5"/>
  <c r="AD46" i="5"/>
  <c r="AC46" i="5"/>
  <c r="AB46" i="5"/>
  <c r="AA46" i="5"/>
  <c r="M46" i="5"/>
  <c r="D46" i="5"/>
  <c r="N46" i="5" s="1"/>
  <c r="AF45" i="5"/>
  <c r="AE45" i="5"/>
  <c r="AD45" i="5"/>
  <c r="AC45" i="5"/>
  <c r="AB45" i="5"/>
  <c r="AA45" i="5"/>
  <c r="M45" i="5"/>
  <c r="D45" i="5"/>
  <c r="N45" i="5" s="1"/>
  <c r="AF44" i="5"/>
  <c r="AE44" i="5"/>
  <c r="AD44" i="5"/>
  <c r="AC44" i="5"/>
  <c r="AB44" i="5"/>
  <c r="AA44" i="5"/>
  <c r="M44" i="5"/>
  <c r="D44" i="5"/>
  <c r="N44" i="5" s="1"/>
  <c r="AF52" i="6"/>
  <c r="AE52" i="6"/>
  <c r="AD52" i="6"/>
  <c r="AC52" i="6"/>
  <c r="AB52" i="6"/>
  <c r="AA52" i="6"/>
  <c r="M52" i="6"/>
  <c r="D52" i="6"/>
  <c r="N52" i="6" s="1"/>
  <c r="AF51" i="6"/>
  <c r="AE51" i="6"/>
  <c r="AD51" i="6"/>
  <c r="AC51" i="6"/>
  <c r="AB51" i="6"/>
  <c r="AA51" i="6"/>
  <c r="M51" i="6"/>
  <c r="D51" i="6"/>
  <c r="N51" i="6" s="1"/>
  <c r="AF50" i="6"/>
  <c r="AE50" i="6"/>
  <c r="AD50" i="6"/>
  <c r="AC50" i="6"/>
  <c r="AB50" i="6"/>
  <c r="AA50" i="6"/>
  <c r="M50" i="6"/>
  <c r="D50" i="6"/>
  <c r="N50" i="6" s="1"/>
  <c r="AF49" i="6"/>
  <c r="AE49" i="6"/>
  <c r="AD49" i="6"/>
  <c r="AC49" i="6"/>
  <c r="AB49" i="6"/>
  <c r="AA49" i="6"/>
  <c r="M49" i="6"/>
  <c r="D49" i="6"/>
  <c r="N49" i="6" s="1"/>
  <c r="AF48" i="6"/>
  <c r="AE48" i="6"/>
  <c r="AD48" i="6"/>
  <c r="AC48" i="6"/>
  <c r="AB48" i="6"/>
  <c r="AA48" i="6"/>
  <c r="M48" i="6"/>
  <c r="D48" i="6"/>
  <c r="N48" i="6" s="1"/>
  <c r="AF47" i="6"/>
  <c r="AE47" i="6"/>
  <c r="AD47" i="6"/>
  <c r="AC47" i="6"/>
  <c r="AB47" i="6"/>
  <c r="AA47" i="6"/>
  <c r="M47" i="6"/>
  <c r="D47" i="6"/>
  <c r="N47" i="6" s="1"/>
  <c r="AF46" i="6"/>
  <c r="AE46" i="6"/>
  <c r="AD46" i="6"/>
  <c r="AC46" i="6"/>
  <c r="AB46" i="6"/>
  <c r="AA46" i="6"/>
  <c r="M46" i="6"/>
  <c r="D46" i="6"/>
  <c r="N46" i="6" s="1"/>
  <c r="AF45" i="6"/>
  <c r="AE45" i="6"/>
  <c r="AD45" i="6"/>
  <c r="AC45" i="6"/>
  <c r="AB45" i="6"/>
  <c r="AA45" i="6"/>
  <c r="M45" i="6"/>
  <c r="D45" i="6"/>
  <c r="N45" i="6" s="1"/>
  <c r="AF44" i="6"/>
  <c r="AE44" i="6"/>
  <c r="AD44" i="6"/>
  <c r="AC44" i="6"/>
  <c r="AB44" i="6"/>
  <c r="AA44" i="6"/>
  <c r="M44" i="6"/>
  <c r="D44" i="6"/>
  <c r="N44" i="6" s="1"/>
  <c r="AF52" i="1"/>
  <c r="AE52" i="1"/>
  <c r="AD52" i="1"/>
  <c r="AC52" i="1"/>
  <c r="AB52" i="1"/>
  <c r="AA52" i="1"/>
  <c r="M52" i="1"/>
  <c r="D52" i="1"/>
  <c r="N52" i="1" s="1"/>
  <c r="AF51" i="1"/>
  <c r="AE51" i="1"/>
  <c r="AD51" i="1"/>
  <c r="AC51" i="1"/>
  <c r="AB51" i="1"/>
  <c r="AA51" i="1"/>
  <c r="M51" i="1"/>
  <c r="D51" i="1"/>
  <c r="N51" i="1" s="1"/>
  <c r="AF50" i="1"/>
  <c r="AE50" i="1"/>
  <c r="AD50" i="1"/>
  <c r="AC50" i="1"/>
  <c r="AB50" i="1"/>
  <c r="AA50" i="1"/>
  <c r="M50" i="1"/>
  <c r="D50" i="1"/>
  <c r="N50" i="1" s="1"/>
  <c r="AF49" i="1"/>
  <c r="AE49" i="1"/>
  <c r="AD49" i="1"/>
  <c r="AC49" i="1"/>
  <c r="AB49" i="1"/>
  <c r="AA49" i="1"/>
  <c r="M49" i="1"/>
  <c r="D49" i="1"/>
  <c r="N49" i="1" s="1"/>
  <c r="AF48" i="1"/>
  <c r="AE48" i="1"/>
  <c r="AD48" i="1"/>
  <c r="AC48" i="1"/>
  <c r="AB48" i="1"/>
  <c r="AA48" i="1"/>
  <c r="M48" i="1"/>
  <c r="D48" i="1"/>
  <c r="N48" i="1" s="1"/>
  <c r="AF47" i="1"/>
  <c r="AE47" i="1"/>
  <c r="AD47" i="1"/>
  <c r="AC47" i="1"/>
  <c r="AB47" i="1"/>
  <c r="AA47" i="1"/>
  <c r="M47" i="1"/>
  <c r="D47" i="1"/>
  <c r="N47" i="1" s="1"/>
  <c r="AF46" i="1"/>
  <c r="AE46" i="1"/>
  <c r="AD46" i="1"/>
  <c r="AC46" i="1"/>
  <c r="AB46" i="1"/>
  <c r="AA46" i="1"/>
  <c r="M46" i="1"/>
  <c r="D46" i="1"/>
  <c r="N46" i="1" s="1"/>
  <c r="AF45" i="1"/>
  <c r="AE45" i="1"/>
  <c r="AD45" i="1"/>
  <c r="AC45" i="1"/>
  <c r="AB45" i="1"/>
  <c r="AA45" i="1"/>
  <c r="M45" i="1"/>
  <c r="D45" i="1"/>
  <c r="N45" i="1" s="1"/>
  <c r="AF44" i="1"/>
  <c r="AE44" i="1"/>
  <c r="AD44" i="1"/>
  <c r="AC44" i="1"/>
  <c r="AB44" i="1"/>
  <c r="AA44" i="1"/>
  <c r="M44" i="1"/>
  <c r="D44" i="1"/>
  <c r="N44" i="1" s="1"/>
  <c r="B19" i="12" l="1"/>
  <c r="E32" i="12" l="1"/>
  <c r="H33" i="12" l="1"/>
  <c r="I33" i="12" s="1"/>
  <c r="J33" i="12" s="1"/>
  <c r="K33" i="12" s="1"/>
  <c r="L33" i="12" s="1"/>
  <c r="M33" i="12" s="1"/>
  <c r="N33" i="12" s="1"/>
  <c r="O33" i="12" s="1"/>
  <c r="P33" i="12" s="1"/>
  <c r="Q33" i="12" s="1"/>
  <c r="R33" i="12" s="1"/>
  <c r="S33" i="12" s="1"/>
  <c r="T33" i="12" s="1"/>
  <c r="U33" i="12" s="1"/>
  <c r="V33" i="12" s="1"/>
  <c r="W33" i="12" s="1"/>
  <c r="X33" i="12" s="1"/>
  <c r="Y33" i="12" s="1"/>
  <c r="Z33" i="12" s="1"/>
  <c r="AA33" i="12" s="1"/>
  <c r="AB33" i="12" s="1"/>
  <c r="AC33" i="12" s="1"/>
  <c r="AD33" i="12" s="1"/>
  <c r="AE33" i="12" s="1"/>
  <c r="AF33" i="12" s="1"/>
  <c r="AG33" i="12" s="1"/>
  <c r="AH33" i="12" s="1"/>
  <c r="AI33" i="12" s="1"/>
  <c r="AJ33" i="12" s="1"/>
  <c r="AK33" i="12" s="1"/>
  <c r="AL33" i="12" s="1"/>
  <c r="AM33" i="12" s="1"/>
  <c r="AN33" i="12" s="1"/>
  <c r="AO33" i="12" s="1"/>
  <c r="AP33" i="12" s="1"/>
  <c r="AQ33" i="12" s="1"/>
  <c r="AR33" i="12" s="1"/>
  <c r="AS33" i="12" s="1"/>
  <c r="AT33" i="12" s="1"/>
  <c r="AU33" i="12" s="1"/>
  <c r="AV33" i="12" s="1"/>
  <c r="AW33" i="12" s="1"/>
  <c r="AX33" i="12" s="1"/>
  <c r="AY33" i="12" s="1"/>
  <c r="AZ33" i="12" s="1"/>
  <c r="BA33" i="12" s="1"/>
  <c r="BB33" i="12" s="1"/>
  <c r="BC33" i="12" s="1"/>
  <c r="H32" i="12" l="1"/>
  <c r="I32" i="12" l="1"/>
  <c r="D9" i="1"/>
  <c r="D8" i="1"/>
  <c r="D14" i="1"/>
  <c r="D17" i="1"/>
  <c r="D20" i="1"/>
  <c r="D11" i="1"/>
  <c r="D10" i="1"/>
  <c r="D15" i="1"/>
  <c r="D18" i="1"/>
  <c r="D21" i="1"/>
  <c r="D7" i="1"/>
  <c r="D13" i="1"/>
  <c r="D12" i="1"/>
  <c r="D16" i="1"/>
  <c r="D19" i="1"/>
  <c r="D22" i="1"/>
  <c r="D23" i="1"/>
  <c r="J32" i="12" l="1"/>
  <c r="K32" i="12" l="1"/>
  <c r="AC2" i="9"/>
  <c r="V2" i="9" s="1"/>
  <c r="AF55" i="4"/>
  <c r="AE55" i="4"/>
  <c r="AD55" i="4"/>
  <c r="AC55" i="4"/>
  <c r="AB55" i="4"/>
  <c r="AA55" i="4"/>
  <c r="D55" i="4"/>
  <c r="N55" i="4" s="1"/>
  <c r="M55" i="4"/>
  <c r="AF54" i="4"/>
  <c r="AE54" i="4"/>
  <c r="AD54" i="4"/>
  <c r="AC54" i="4"/>
  <c r="AB54" i="4"/>
  <c r="AA54" i="4"/>
  <c r="D54" i="4"/>
  <c r="N54" i="4" s="1"/>
  <c r="M54" i="4"/>
  <c r="AF43" i="4"/>
  <c r="AE43" i="4"/>
  <c r="AD43" i="4"/>
  <c r="AC43" i="4"/>
  <c r="AB43" i="4"/>
  <c r="AA43" i="4"/>
  <c r="D43" i="4"/>
  <c r="N43" i="4" s="1"/>
  <c r="M43" i="4"/>
  <c r="AF42" i="4"/>
  <c r="AE42" i="4"/>
  <c r="AD42" i="4"/>
  <c r="AC42" i="4"/>
  <c r="AB42" i="4"/>
  <c r="AA42" i="4"/>
  <c r="D42" i="4"/>
  <c r="N42" i="4" s="1"/>
  <c r="M42" i="4"/>
  <c r="AF41" i="4"/>
  <c r="AE41" i="4"/>
  <c r="AD41" i="4"/>
  <c r="AC41" i="4"/>
  <c r="AB41" i="4"/>
  <c r="AA41" i="4"/>
  <c r="D41" i="4"/>
  <c r="N41" i="4" s="1"/>
  <c r="M41" i="4"/>
  <c r="AF40" i="4"/>
  <c r="AE40" i="4"/>
  <c r="AD40" i="4"/>
  <c r="AC40" i="4"/>
  <c r="AB40" i="4"/>
  <c r="AA40" i="4"/>
  <c r="D40" i="4"/>
  <c r="N40" i="4" s="1"/>
  <c r="M40" i="4"/>
  <c r="AF39" i="4"/>
  <c r="AE39" i="4"/>
  <c r="AD39" i="4"/>
  <c r="AC39" i="4"/>
  <c r="AB39" i="4"/>
  <c r="AA39" i="4"/>
  <c r="D39" i="4"/>
  <c r="N39" i="4" s="1"/>
  <c r="M39" i="4"/>
  <c r="AF55" i="5"/>
  <c r="AE55" i="5"/>
  <c r="AD55" i="5"/>
  <c r="AC55" i="5"/>
  <c r="AB55" i="5"/>
  <c r="AA55" i="5"/>
  <c r="D55" i="5"/>
  <c r="N55" i="5" s="1"/>
  <c r="M55" i="5"/>
  <c r="AF54" i="5"/>
  <c r="AE54" i="5"/>
  <c r="AD54" i="5"/>
  <c r="AC54" i="5"/>
  <c r="AB54" i="5"/>
  <c r="AA54" i="5"/>
  <c r="D54" i="5"/>
  <c r="N54" i="5" s="1"/>
  <c r="M54" i="5"/>
  <c r="AF43" i="5"/>
  <c r="AE43" i="5"/>
  <c r="AD43" i="5"/>
  <c r="AC43" i="5"/>
  <c r="AB43" i="5"/>
  <c r="AA43" i="5"/>
  <c r="D43" i="5"/>
  <c r="N43" i="5" s="1"/>
  <c r="M43" i="5"/>
  <c r="AF42" i="5"/>
  <c r="AE42" i="5"/>
  <c r="AD42" i="5"/>
  <c r="AC42" i="5"/>
  <c r="AB42" i="5"/>
  <c r="AA42" i="5"/>
  <c r="D42" i="5"/>
  <c r="N42" i="5" s="1"/>
  <c r="M42" i="5"/>
  <c r="AF41" i="5"/>
  <c r="AE41" i="5"/>
  <c r="AD41" i="5"/>
  <c r="AC41" i="5"/>
  <c r="AB41" i="5"/>
  <c r="AA41" i="5"/>
  <c r="D41" i="5"/>
  <c r="N41" i="5" s="1"/>
  <c r="M41" i="5"/>
  <c r="AF40" i="5"/>
  <c r="AE40" i="5"/>
  <c r="AD40" i="5"/>
  <c r="AC40" i="5"/>
  <c r="AB40" i="5"/>
  <c r="AA40" i="5"/>
  <c r="D40" i="5"/>
  <c r="N40" i="5" s="1"/>
  <c r="M40" i="5"/>
  <c r="AF39" i="5"/>
  <c r="AE39" i="5"/>
  <c r="AD39" i="5"/>
  <c r="AC39" i="5"/>
  <c r="AB39" i="5"/>
  <c r="AA39" i="5"/>
  <c r="D39" i="5"/>
  <c r="N39" i="5" s="1"/>
  <c r="M39" i="5"/>
  <c r="AF55" i="6"/>
  <c r="AE55" i="6"/>
  <c r="AD55" i="6"/>
  <c r="AC55" i="6"/>
  <c r="AB55" i="6"/>
  <c r="AA55" i="6"/>
  <c r="D55" i="6"/>
  <c r="N55" i="6" s="1"/>
  <c r="M55" i="6"/>
  <c r="AF54" i="6"/>
  <c r="AE54" i="6"/>
  <c r="AD54" i="6"/>
  <c r="AC54" i="6"/>
  <c r="AB54" i="6"/>
  <c r="AA54" i="6"/>
  <c r="D54" i="6"/>
  <c r="N54" i="6" s="1"/>
  <c r="M54" i="6"/>
  <c r="AF43" i="6"/>
  <c r="AE43" i="6"/>
  <c r="AD43" i="6"/>
  <c r="AC43" i="6"/>
  <c r="AB43" i="6"/>
  <c r="AA43" i="6"/>
  <c r="D43" i="6"/>
  <c r="N43" i="6" s="1"/>
  <c r="M43" i="6"/>
  <c r="AF42" i="6"/>
  <c r="AE42" i="6"/>
  <c r="AD42" i="6"/>
  <c r="AC42" i="6"/>
  <c r="AB42" i="6"/>
  <c r="AA42" i="6"/>
  <c r="D42" i="6"/>
  <c r="N42" i="6" s="1"/>
  <c r="M42" i="6"/>
  <c r="AF41" i="6"/>
  <c r="AE41" i="6"/>
  <c r="AD41" i="6"/>
  <c r="AC41" i="6"/>
  <c r="AB41" i="6"/>
  <c r="AA41" i="6"/>
  <c r="D41" i="6"/>
  <c r="N41" i="6" s="1"/>
  <c r="M41" i="6"/>
  <c r="AF40" i="6"/>
  <c r="AE40" i="6"/>
  <c r="AD40" i="6"/>
  <c r="AC40" i="6"/>
  <c r="AB40" i="6"/>
  <c r="AA40" i="6"/>
  <c r="D40" i="6"/>
  <c r="N40" i="6" s="1"/>
  <c r="M40" i="6"/>
  <c r="AF39" i="6"/>
  <c r="AE39" i="6"/>
  <c r="AD39" i="6"/>
  <c r="AC39" i="6"/>
  <c r="AB39" i="6"/>
  <c r="AA39" i="6"/>
  <c r="D39" i="6"/>
  <c r="N39" i="6" s="1"/>
  <c r="M39" i="6"/>
  <c r="AF55" i="1"/>
  <c r="AE55" i="1"/>
  <c r="AD55" i="1"/>
  <c r="AC55" i="1"/>
  <c r="AB55" i="1"/>
  <c r="AA55" i="1"/>
  <c r="D55" i="1"/>
  <c r="N55" i="1" s="1"/>
  <c r="M55" i="1"/>
  <c r="AF54" i="1"/>
  <c r="AE54" i="1"/>
  <c r="AD54" i="1"/>
  <c r="AC54" i="1"/>
  <c r="AB54" i="1"/>
  <c r="AA54" i="1"/>
  <c r="D54" i="1"/>
  <c r="N54" i="1" s="1"/>
  <c r="M54" i="1"/>
  <c r="AF43" i="1"/>
  <c r="AE43" i="1"/>
  <c r="AD43" i="1"/>
  <c r="AC43" i="1"/>
  <c r="AB43" i="1"/>
  <c r="AA43" i="1"/>
  <c r="D43" i="1"/>
  <c r="N43" i="1" s="1"/>
  <c r="M43" i="1"/>
  <c r="AF42" i="1"/>
  <c r="AE42" i="1"/>
  <c r="AD42" i="1"/>
  <c r="AC42" i="1"/>
  <c r="AB42" i="1"/>
  <c r="AA42" i="1"/>
  <c r="D42" i="1"/>
  <c r="N42" i="1" s="1"/>
  <c r="M42" i="1"/>
  <c r="AF41" i="1"/>
  <c r="AE41" i="1"/>
  <c r="AD41" i="1"/>
  <c r="AC41" i="1"/>
  <c r="AB41" i="1"/>
  <c r="AA41" i="1"/>
  <c r="D41" i="1"/>
  <c r="N41" i="1" s="1"/>
  <c r="M41" i="1"/>
  <c r="AF40" i="1"/>
  <c r="AE40" i="1"/>
  <c r="AD40" i="1"/>
  <c r="AC40" i="1"/>
  <c r="AB40" i="1"/>
  <c r="AA40" i="1"/>
  <c r="D40" i="1"/>
  <c r="N40" i="1" s="1"/>
  <c r="M40" i="1"/>
  <c r="AF39" i="1"/>
  <c r="AE39" i="1"/>
  <c r="AD39" i="1"/>
  <c r="AC39" i="1"/>
  <c r="AB39" i="1"/>
  <c r="AA39" i="1"/>
  <c r="D39" i="1"/>
  <c r="N39" i="1" s="1"/>
  <c r="M39" i="1"/>
  <c r="AA3" i="7"/>
  <c r="AA2" i="7"/>
  <c r="D26" i="1"/>
  <c r="D25" i="1"/>
  <c r="D24" i="1"/>
  <c r="N24" i="1" s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2" i="9"/>
  <c r="AC3" i="9"/>
  <c r="V3" i="9" s="1"/>
  <c r="AC4" i="9"/>
  <c r="V4" i="9" s="1"/>
  <c r="AC5" i="9"/>
  <c r="V5" i="9" s="1"/>
  <c r="AC6" i="9"/>
  <c r="V6" i="9" s="1"/>
  <c r="AC7" i="9"/>
  <c r="V7" i="9" s="1"/>
  <c r="AC8" i="9"/>
  <c r="V8" i="9" s="1"/>
  <c r="AC9" i="9"/>
  <c r="V9" i="9" s="1"/>
  <c r="AC10" i="9"/>
  <c r="V10" i="9" s="1"/>
  <c r="AC11" i="9"/>
  <c r="V11" i="9" s="1"/>
  <c r="AC12" i="9"/>
  <c r="V12" i="9" s="1"/>
  <c r="AC13" i="9"/>
  <c r="V13" i="9" s="1"/>
  <c r="AC14" i="9"/>
  <c r="V14" i="9" s="1"/>
  <c r="AC15" i="9"/>
  <c r="V15" i="9" s="1"/>
  <c r="AC16" i="9"/>
  <c r="V16" i="9" s="1"/>
  <c r="AC17" i="9"/>
  <c r="V17" i="9" s="1"/>
  <c r="AC18" i="9"/>
  <c r="V18" i="9" s="1"/>
  <c r="AC19" i="9"/>
  <c r="V19" i="9" s="1"/>
  <c r="AC20" i="9"/>
  <c r="V20" i="9" s="1"/>
  <c r="AC21" i="9"/>
  <c r="V21" i="9" s="1"/>
  <c r="AC22" i="9"/>
  <c r="V22" i="9" s="1"/>
  <c r="AC23" i="9"/>
  <c r="V23" i="9" s="1"/>
  <c r="AC24" i="9"/>
  <c r="V24" i="9" s="1"/>
  <c r="AC25" i="9"/>
  <c r="V25" i="9" s="1"/>
  <c r="AC26" i="9"/>
  <c r="V26" i="9" s="1"/>
  <c r="AC27" i="9"/>
  <c r="V27" i="9" s="1"/>
  <c r="AC28" i="9"/>
  <c r="V28" i="9" s="1"/>
  <c r="AC29" i="9"/>
  <c r="V29" i="9" s="1"/>
  <c r="AC30" i="9"/>
  <c r="V30" i="9" s="1"/>
  <c r="AC31" i="9"/>
  <c r="V31" i="9" s="1"/>
  <c r="AC32" i="9"/>
  <c r="V32" i="9" s="1"/>
  <c r="AC33" i="9"/>
  <c r="V33" i="9" s="1"/>
  <c r="AC34" i="9"/>
  <c r="V34" i="9" s="1"/>
  <c r="AC35" i="9"/>
  <c r="AC36" i="9"/>
  <c r="V36" i="9" s="1"/>
  <c r="AC37" i="9"/>
  <c r="V37" i="9" s="1"/>
  <c r="AC38" i="9"/>
  <c r="V38" i="9" s="1"/>
  <c r="AC39" i="9"/>
  <c r="V39" i="9" s="1"/>
  <c r="AC40" i="9"/>
  <c r="V40" i="9" s="1"/>
  <c r="AC41" i="9"/>
  <c r="V41" i="9" s="1"/>
  <c r="AC42" i="9"/>
  <c r="V42" i="9" s="1"/>
  <c r="AC43" i="9"/>
  <c r="V43" i="9" s="1"/>
  <c r="AC44" i="9"/>
  <c r="V44" i="9" s="1"/>
  <c r="AC45" i="9"/>
  <c r="V45" i="9" s="1"/>
  <c r="AC46" i="9"/>
  <c r="V46" i="9" s="1"/>
  <c r="AC47" i="9"/>
  <c r="V47" i="9" s="1"/>
  <c r="AC48" i="9"/>
  <c r="V48" i="9" s="1"/>
  <c r="AC49" i="9"/>
  <c r="V49" i="9" s="1"/>
  <c r="AC50" i="9"/>
  <c r="V50" i="9" s="1"/>
  <c r="AC51" i="9"/>
  <c r="AC52" i="9"/>
  <c r="V52" i="9" s="1"/>
  <c r="AC53" i="9"/>
  <c r="V53" i="9" s="1"/>
  <c r="AC54" i="9"/>
  <c r="V54" i="9" s="1"/>
  <c r="W54" i="9"/>
  <c r="AC55" i="9"/>
  <c r="V55" i="9" s="1"/>
  <c r="AC56" i="9"/>
  <c r="V56" i="9" s="1"/>
  <c r="W56" i="9"/>
  <c r="AC57" i="9"/>
  <c r="V57" i="9" s="1"/>
  <c r="AC58" i="9"/>
  <c r="V58" i="9" s="1"/>
  <c r="AC59" i="9"/>
  <c r="V59" i="9" s="1"/>
  <c r="AC60" i="9"/>
  <c r="V60" i="9" s="1"/>
  <c r="AC61" i="9"/>
  <c r="V61" i="9" s="1"/>
  <c r="AC62" i="9"/>
  <c r="V62" i="9" s="1"/>
  <c r="W62" i="9"/>
  <c r="AC63" i="9"/>
  <c r="V63" i="9" s="1"/>
  <c r="AC64" i="9"/>
  <c r="V64" i="9" s="1"/>
  <c r="W64" i="9"/>
  <c r="AC65" i="9"/>
  <c r="V65" i="9" s="1"/>
  <c r="AC66" i="9"/>
  <c r="V66" i="9" s="1"/>
  <c r="AC67" i="9"/>
  <c r="V67" i="9" s="1"/>
  <c r="AC68" i="9"/>
  <c r="V68" i="9" s="1"/>
  <c r="AC69" i="9"/>
  <c r="V69" i="9" s="1"/>
  <c r="AC70" i="9"/>
  <c r="V70" i="9" s="1"/>
  <c r="W70" i="9"/>
  <c r="AC71" i="9"/>
  <c r="V71" i="9" s="1"/>
  <c r="AC72" i="9"/>
  <c r="V72" i="9" s="1"/>
  <c r="W72" i="9"/>
  <c r="AC73" i="9"/>
  <c r="V73" i="9" s="1"/>
  <c r="AC74" i="9"/>
  <c r="V74" i="9" s="1"/>
  <c r="AC75" i="9"/>
  <c r="V75" i="9" s="1"/>
  <c r="W75" i="9"/>
  <c r="AC76" i="9"/>
  <c r="V76" i="9" s="1"/>
  <c r="AC77" i="9"/>
  <c r="V77" i="9" s="1"/>
  <c r="AC78" i="9"/>
  <c r="V78" i="9" s="1"/>
  <c r="AC79" i="9"/>
  <c r="V79" i="9" s="1"/>
  <c r="AC80" i="9"/>
  <c r="V80" i="9" s="1"/>
  <c r="AC81" i="9"/>
  <c r="V81" i="9" s="1"/>
  <c r="AC82" i="9"/>
  <c r="V82" i="9" s="1"/>
  <c r="AC83" i="9"/>
  <c r="V83" i="9" s="1"/>
  <c r="AC84" i="9"/>
  <c r="V84" i="9" s="1"/>
  <c r="AC85" i="9"/>
  <c r="V85" i="9" s="1"/>
  <c r="AC86" i="9"/>
  <c r="V86" i="9" s="1"/>
  <c r="AC87" i="9"/>
  <c r="V87" i="9" s="1"/>
  <c r="W87" i="9"/>
  <c r="AC88" i="9"/>
  <c r="V88" i="9" s="1"/>
  <c r="AC89" i="9"/>
  <c r="V89" i="9" s="1"/>
  <c r="AC90" i="9"/>
  <c r="V90" i="9" s="1"/>
  <c r="AC91" i="9"/>
  <c r="V91" i="9" s="1"/>
  <c r="AC92" i="9"/>
  <c r="V92" i="9" s="1"/>
  <c r="AC93" i="9"/>
  <c r="V93" i="9" s="1"/>
  <c r="W93" i="9"/>
  <c r="AC94" i="9"/>
  <c r="V94" i="9" s="1"/>
  <c r="AC95" i="9"/>
  <c r="V95" i="9" s="1"/>
  <c r="AC96" i="9"/>
  <c r="V96" i="9" s="1"/>
  <c r="AC97" i="9"/>
  <c r="V97" i="9" s="1"/>
  <c r="AC98" i="9"/>
  <c r="V98" i="9" s="1"/>
  <c r="AC99" i="9"/>
  <c r="V99" i="9" s="1"/>
  <c r="AC100" i="9"/>
  <c r="V100" i="9" s="1"/>
  <c r="AC101" i="9"/>
  <c r="V101" i="9" s="1"/>
  <c r="AC102" i="9"/>
  <c r="V102" i="9" s="1"/>
  <c r="AC103" i="9"/>
  <c r="V103" i="9" s="1"/>
  <c r="W103" i="9"/>
  <c r="AC104" i="9"/>
  <c r="V104" i="9" s="1"/>
  <c r="AC105" i="9"/>
  <c r="V105" i="9" s="1"/>
  <c r="AC106" i="9"/>
  <c r="V106" i="9" s="1"/>
  <c r="AC107" i="9"/>
  <c r="V107" i="9" s="1"/>
  <c r="AC108" i="9"/>
  <c r="V108" i="9" s="1"/>
  <c r="AC109" i="9"/>
  <c r="V109" i="9" s="1"/>
  <c r="W109" i="9"/>
  <c r="AC110" i="9"/>
  <c r="V110" i="9" s="1"/>
  <c r="AC111" i="9"/>
  <c r="V111" i="9" s="1"/>
  <c r="AC112" i="9"/>
  <c r="V112" i="9" s="1"/>
  <c r="AC113" i="9"/>
  <c r="V113" i="9" s="1"/>
  <c r="AC114" i="9"/>
  <c r="V114" i="9" s="1"/>
  <c r="AC115" i="9"/>
  <c r="V115" i="9" s="1"/>
  <c r="AC116" i="9"/>
  <c r="V116" i="9" s="1"/>
  <c r="AC117" i="9"/>
  <c r="V117" i="9" s="1"/>
  <c r="AC118" i="9"/>
  <c r="V118" i="9" s="1"/>
  <c r="AC119" i="9"/>
  <c r="V119" i="9" s="1"/>
  <c r="W119" i="9"/>
  <c r="AC120" i="9"/>
  <c r="V120" i="9" s="1"/>
  <c r="AC121" i="9"/>
  <c r="V121" i="9" s="1"/>
  <c r="AC122" i="9"/>
  <c r="V122" i="9" s="1"/>
  <c r="AC123" i="9"/>
  <c r="V123" i="9" s="1"/>
  <c r="AC124" i="9"/>
  <c r="V124" i="9" s="1"/>
  <c r="AC125" i="9"/>
  <c r="V125" i="9" s="1"/>
  <c r="W125" i="9"/>
  <c r="AC126" i="9"/>
  <c r="V126" i="9" s="1"/>
  <c r="AC127" i="9"/>
  <c r="V127" i="9" s="1"/>
  <c r="AC128" i="9"/>
  <c r="V128" i="9" s="1"/>
  <c r="AC129" i="9"/>
  <c r="V129" i="9" s="1"/>
  <c r="AC130" i="9"/>
  <c r="V130" i="9" s="1"/>
  <c r="AC131" i="9"/>
  <c r="V131" i="9" s="1"/>
  <c r="AC132" i="9"/>
  <c r="V132" i="9" s="1"/>
  <c r="AC133" i="9"/>
  <c r="V133" i="9" s="1"/>
  <c r="AC134" i="9"/>
  <c r="V134" i="9" s="1"/>
  <c r="AC135" i="9"/>
  <c r="V135" i="9" s="1"/>
  <c r="W135" i="9"/>
  <c r="AC136" i="9"/>
  <c r="V136" i="9" s="1"/>
  <c r="AC137" i="9"/>
  <c r="V137" i="9" s="1"/>
  <c r="AC138" i="9"/>
  <c r="V138" i="9" s="1"/>
  <c r="AC139" i="9"/>
  <c r="V139" i="9" s="1"/>
  <c r="AC140" i="9"/>
  <c r="V140" i="9" s="1"/>
  <c r="AC141" i="9"/>
  <c r="V141" i="9" s="1"/>
  <c r="W141" i="9"/>
  <c r="AC142" i="9"/>
  <c r="V142" i="9" s="1"/>
  <c r="AC143" i="9"/>
  <c r="V143" i="9" s="1"/>
  <c r="AC144" i="9"/>
  <c r="V144" i="9" s="1"/>
  <c r="AC145" i="9"/>
  <c r="V145" i="9" s="1"/>
  <c r="AC146" i="9"/>
  <c r="V146" i="9" s="1"/>
  <c r="AC147" i="9"/>
  <c r="V147" i="9" s="1"/>
  <c r="AC148" i="9"/>
  <c r="V148" i="9" s="1"/>
  <c r="AC149" i="9"/>
  <c r="V149" i="9" s="1"/>
  <c r="AC150" i="9"/>
  <c r="V150" i="9" s="1"/>
  <c r="AC151" i="9"/>
  <c r="V151" i="9" s="1"/>
  <c r="W151" i="9"/>
  <c r="AC152" i="9"/>
  <c r="V152" i="9" s="1"/>
  <c r="AC153" i="9"/>
  <c r="V153" i="9" s="1"/>
  <c r="AC154" i="9"/>
  <c r="V154" i="9" s="1"/>
  <c r="AC155" i="9"/>
  <c r="V155" i="9" s="1"/>
  <c r="AC156" i="9"/>
  <c r="V156" i="9" s="1"/>
  <c r="AC157" i="9"/>
  <c r="V157" i="9" s="1"/>
  <c r="W157" i="9"/>
  <c r="AC158" i="9"/>
  <c r="V158" i="9" s="1"/>
  <c r="AC159" i="9"/>
  <c r="V159" i="9" s="1"/>
  <c r="AC160" i="9"/>
  <c r="V160" i="9" s="1"/>
  <c r="AC161" i="9"/>
  <c r="V161" i="9" s="1"/>
  <c r="AC162" i="9"/>
  <c r="V162" i="9" s="1"/>
  <c r="AC163" i="9"/>
  <c r="V163" i="9" s="1"/>
  <c r="AC164" i="9"/>
  <c r="V164" i="9" s="1"/>
  <c r="AC165" i="9"/>
  <c r="V165" i="9" s="1"/>
  <c r="AC166" i="9"/>
  <c r="V166" i="9" s="1"/>
  <c r="AC167" i="9"/>
  <c r="V167" i="9" s="1"/>
  <c r="AC168" i="9"/>
  <c r="V168" i="9" s="1"/>
  <c r="AC169" i="9"/>
  <c r="V169" i="9" s="1"/>
  <c r="AC170" i="9"/>
  <c r="V170" i="9" s="1"/>
  <c r="AC171" i="9"/>
  <c r="AC172" i="9"/>
  <c r="V172" i="9" s="1"/>
  <c r="AC173" i="9"/>
  <c r="V173" i="9" s="1"/>
  <c r="AC174" i="9"/>
  <c r="V174" i="9" s="1"/>
  <c r="AC175" i="9"/>
  <c r="V175" i="9" s="1"/>
  <c r="AC176" i="9"/>
  <c r="V176" i="9" s="1"/>
  <c r="AC177" i="9"/>
  <c r="V177" i="9" s="1"/>
  <c r="AC178" i="9"/>
  <c r="V178" i="9" s="1"/>
  <c r="AC179" i="9"/>
  <c r="AC180" i="9"/>
  <c r="V180" i="9" s="1"/>
  <c r="AC181" i="9"/>
  <c r="V181" i="9" s="1"/>
  <c r="W181" i="9"/>
  <c r="AC182" i="9"/>
  <c r="V182" i="9" s="1"/>
  <c r="AC183" i="9"/>
  <c r="V183" i="9" s="1"/>
  <c r="AC184" i="9"/>
  <c r="V184" i="9" s="1"/>
  <c r="AC185" i="9"/>
  <c r="V185" i="9" s="1"/>
  <c r="AC186" i="9"/>
  <c r="V186" i="9" s="1"/>
  <c r="AC187" i="9"/>
  <c r="AC188" i="9"/>
  <c r="V188" i="9" s="1"/>
  <c r="AC189" i="9"/>
  <c r="V189" i="9" s="1"/>
  <c r="AC190" i="9"/>
  <c r="V190" i="9" s="1"/>
  <c r="AC191" i="9"/>
  <c r="V191" i="9" s="1"/>
  <c r="AC192" i="9"/>
  <c r="V192" i="9" s="1"/>
  <c r="AC193" i="9"/>
  <c r="V193" i="9" s="1"/>
  <c r="W193" i="9"/>
  <c r="AC194" i="9"/>
  <c r="V194" i="9" s="1"/>
  <c r="AC195" i="9"/>
  <c r="AC196" i="9"/>
  <c r="V196" i="9" s="1"/>
  <c r="AC197" i="9"/>
  <c r="V197" i="9" s="1"/>
  <c r="AC198" i="9"/>
  <c r="V198" i="9" s="1"/>
  <c r="AC199" i="9"/>
  <c r="V199" i="9" s="1"/>
  <c r="AC200" i="9"/>
  <c r="V200" i="9" s="1"/>
  <c r="AC201" i="9"/>
  <c r="V201" i="9" s="1"/>
  <c r="AC202" i="9"/>
  <c r="V202" i="9" s="1"/>
  <c r="AC203" i="9"/>
  <c r="AC204" i="9"/>
  <c r="V204" i="9" s="1"/>
  <c r="AC205" i="9"/>
  <c r="V205" i="9" s="1"/>
  <c r="AC206" i="9"/>
  <c r="V206" i="9" s="1"/>
  <c r="AC207" i="9"/>
  <c r="V207" i="9" s="1"/>
  <c r="AC208" i="9"/>
  <c r="AC209" i="9"/>
  <c r="V209" i="9" s="1"/>
  <c r="AC210" i="9"/>
  <c r="AC211" i="9"/>
  <c r="AC212" i="9"/>
  <c r="AC213" i="9"/>
  <c r="V213" i="9" s="1"/>
  <c r="W213" i="9"/>
  <c r="AC214" i="9"/>
  <c r="AC215" i="9"/>
  <c r="V215" i="9" s="1"/>
  <c r="AC216" i="9"/>
  <c r="AC217" i="9"/>
  <c r="V217" i="9" s="1"/>
  <c r="AC218" i="9"/>
  <c r="AC219" i="9"/>
  <c r="AC220" i="9"/>
  <c r="AC221" i="9"/>
  <c r="V221" i="9" s="1"/>
  <c r="AC222" i="9"/>
  <c r="AC223" i="9"/>
  <c r="V223" i="9" s="1"/>
  <c r="AC224" i="9"/>
  <c r="AC225" i="9"/>
  <c r="V225" i="9" s="1"/>
  <c r="W225" i="9"/>
  <c r="AC226" i="9"/>
  <c r="AC227" i="9"/>
  <c r="AC228" i="9"/>
  <c r="AC229" i="9"/>
  <c r="V229" i="9" s="1"/>
  <c r="AC230" i="9"/>
  <c r="AC231" i="9"/>
  <c r="V231" i="9" s="1"/>
  <c r="AC232" i="9"/>
  <c r="AC233" i="9"/>
  <c r="V233" i="9" s="1"/>
  <c r="AC234" i="9"/>
  <c r="AC235" i="9"/>
  <c r="AC236" i="9"/>
  <c r="AC237" i="9"/>
  <c r="V237" i="9" s="1"/>
  <c r="AC238" i="9"/>
  <c r="AC239" i="9"/>
  <c r="V239" i="9" s="1"/>
  <c r="AC240" i="9"/>
  <c r="AC241" i="9"/>
  <c r="V241" i="9" s="1"/>
  <c r="AC242" i="9"/>
  <c r="AC243" i="9"/>
  <c r="AC244" i="9"/>
  <c r="AC245" i="9"/>
  <c r="V245" i="9" s="1"/>
  <c r="W245" i="9"/>
  <c r="AC246" i="9"/>
  <c r="AC247" i="9"/>
  <c r="V247" i="9" s="1"/>
  <c r="AC248" i="9"/>
  <c r="AC249" i="9"/>
  <c r="V249" i="9" s="1"/>
  <c r="AC250" i="9"/>
  <c r="AC251" i="9"/>
  <c r="AC252" i="9"/>
  <c r="AC253" i="9"/>
  <c r="V253" i="9" s="1"/>
  <c r="AC254" i="9"/>
  <c r="AC255" i="9"/>
  <c r="V255" i="9" s="1"/>
  <c r="AC256" i="9"/>
  <c r="AC257" i="9"/>
  <c r="V257" i="9" s="1"/>
  <c r="W257" i="9"/>
  <c r="AC258" i="9"/>
  <c r="AC259" i="9"/>
  <c r="AC260" i="9"/>
  <c r="AC261" i="9"/>
  <c r="V261" i="9" s="1"/>
  <c r="AC262" i="9"/>
  <c r="AC263" i="9"/>
  <c r="V263" i="9" s="1"/>
  <c r="AC264" i="9"/>
  <c r="AC265" i="9"/>
  <c r="V265" i="9" s="1"/>
  <c r="AC266" i="9"/>
  <c r="AC267" i="9"/>
  <c r="AC268" i="9"/>
  <c r="AC269" i="9"/>
  <c r="V269" i="9" s="1"/>
  <c r="AC270" i="9"/>
  <c r="AC271" i="9"/>
  <c r="V271" i="9" s="1"/>
  <c r="AC272" i="9"/>
  <c r="AC273" i="9"/>
  <c r="V273" i="9" s="1"/>
  <c r="AC274" i="9"/>
  <c r="AC275" i="9"/>
  <c r="AC276" i="9"/>
  <c r="AC277" i="9"/>
  <c r="V277" i="9" s="1"/>
  <c r="W277" i="9"/>
  <c r="AC278" i="9"/>
  <c r="AC279" i="9"/>
  <c r="V279" i="9" s="1"/>
  <c r="AC280" i="9"/>
  <c r="AC281" i="9"/>
  <c r="V281" i="9" s="1"/>
  <c r="AC282" i="9"/>
  <c r="AC283" i="9"/>
  <c r="AC284" i="9"/>
  <c r="AC285" i="9"/>
  <c r="V285" i="9" s="1"/>
  <c r="AC286" i="9"/>
  <c r="AC287" i="9"/>
  <c r="V287" i="9" s="1"/>
  <c r="AC288" i="9"/>
  <c r="AC289" i="9"/>
  <c r="V289" i="9" s="1"/>
  <c r="W289" i="9"/>
  <c r="AC290" i="9"/>
  <c r="AC291" i="9"/>
  <c r="AC292" i="9"/>
  <c r="AC293" i="9"/>
  <c r="V293" i="9" s="1"/>
  <c r="AC294" i="9"/>
  <c r="AC295" i="9"/>
  <c r="V295" i="9" s="1"/>
  <c r="AC296" i="9"/>
  <c r="AC297" i="9"/>
  <c r="V297" i="9" s="1"/>
  <c r="AC298" i="9"/>
  <c r="AC299" i="9"/>
  <c r="AC300" i="9"/>
  <c r="AC301" i="9"/>
  <c r="V301" i="9" s="1"/>
  <c r="AC302" i="9"/>
  <c r="AC303" i="9"/>
  <c r="V303" i="9" s="1"/>
  <c r="AC304" i="9"/>
  <c r="AC305" i="9"/>
  <c r="V305" i="9" s="1"/>
  <c r="AC306" i="9"/>
  <c r="AC307" i="9"/>
  <c r="AC308" i="9"/>
  <c r="AC309" i="9"/>
  <c r="V309" i="9" s="1"/>
  <c r="W309" i="9"/>
  <c r="AC310" i="9"/>
  <c r="AC311" i="9"/>
  <c r="V311" i="9" s="1"/>
  <c r="AC312" i="9"/>
  <c r="AC313" i="9"/>
  <c r="V313" i="9" s="1"/>
  <c r="AC314" i="9"/>
  <c r="AC315" i="9"/>
  <c r="AC316" i="9"/>
  <c r="AC317" i="9"/>
  <c r="V317" i="9" s="1"/>
  <c r="AC318" i="9"/>
  <c r="AC319" i="9"/>
  <c r="V319" i="9" s="1"/>
  <c r="AC320" i="9"/>
  <c r="AC321" i="9"/>
  <c r="V321" i="9" s="1"/>
  <c r="W321" i="9"/>
  <c r="AC322" i="9"/>
  <c r="AC323" i="9"/>
  <c r="AC324" i="9"/>
  <c r="AC325" i="9"/>
  <c r="V325" i="9" s="1"/>
  <c r="AC326" i="9"/>
  <c r="AC327" i="9"/>
  <c r="V327" i="9" s="1"/>
  <c r="AC328" i="9"/>
  <c r="AC329" i="9"/>
  <c r="V329" i="9" s="1"/>
  <c r="AC330" i="9"/>
  <c r="AC331" i="9"/>
  <c r="AC332" i="9"/>
  <c r="AC333" i="9"/>
  <c r="V333" i="9" s="1"/>
  <c r="AC334" i="9"/>
  <c r="AC335" i="9"/>
  <c r="V335" i="9" s="1"/>
  <c r="AC336" i="9"/>
  <c r="AC337" i="9"/>
  <c r="V337" i="9" s="1"/>
  <c r="AC338" i="9"/>
  <c r="AC339" i="9"/>
  <c r="AC340" i="9"/>
  <c r="AC341" i="9"/>
  <c r="V341" i="9" s="1"/>
  <c r="W341" i="9"/>
  <c r="AC342" i="9"/>
  <c r="AC343" i="9"/>
  <c r="V343" i="9" s="1"/>
  <c r="AC344" i="9"/>
  <c r="AC345" i="9"/>
  <c r="V345" i="9" s="1"/>
  <c r="AC346" i="9"/>
  <c r="AC347" i="9"/>
  <c r="AC348" i="9"/>
  <c r="AC349" i="9"/>
  <c r="V349" i="9" s="1"/>
  <c r="AC350" i="9"/>
  <c r="AC351" i="9"/>
  <c r="V351" i="9" s="1"/>
  <c r="AC352" i="9"/>
  <c r="AC353" i="9"/>
  <c r="V353" i="9" s="1"/>
  <c r="AC354" i="9"/>
  <c r="AC355" i="9"/>
  <c r="AC356" i="9"/>
  <c r="AC357" i="9"/>
  <c r="V357" i="9" s="1"/>
  <c r="W357" i="9"/>
  <c r="AC358" i="9"/>
  <c r="AC359" i="9"/>
  <c r="V359" i="9" s="1"/>
  <c r="AC360" i="9"/>
  <c r="AC361" i="9"/>
  <c r="V361" i="9" s="1"/>
  <c r="AC362" i="9"/>
  <c r="AC363" i="9"/>
  <c r="AC364" i="9"/>
  <c r="AC365" i="9"/>
  <c r="V365" i="9" s="1"/>
  <c r="AC366" i="9"/>
  <c r="AC367" i="9"/>
  <c r="V367" i="9" s="1"/>
  <c r="AC368" i="9"/>
  <c r="AC369" i="9"/>
  <c r="V369" i="9" s="1"/>
  <c r="AC370" i="9"/>
  <c r="W2" i="9"/>
  <c r="X3" i="9"/>
  <c r="AB3" i="9"/>
  <c r="AA3" i="9" s="1"/>
  <c r="Q3" i="9" s="1"/>
  <c r="AE3" i="9" s="1"/>
  <c r="X4" i="9"/>
  <c r="AB4" i="9"/>
  <c r="AA4" i="9" s="1"/>
  <c r="Q4" i="9" s="1"/>
  <c r="AE4" i="9" s="1"/>
  <c r="X5" i="9"/>
  <c r="AB5" i="9"/>
  <c r="AA5" i="9" s="1"/>
  <c r="Q5" i="9" s="1"/>
  <c r="AE5" i="9" s="1"/>
  <c r="X6" i="9"/>
  <c r="AB6" i="9"/>
  <c r="AA6" i="9" s="1"/>
  <c r="Q6" i="9" s="1"/>
  <c r="AE6" i="9" s="1"/>
  <c r="X7" i="9"/>
  <c r="AB7" i="9"/>
  <c r="AA7" i="9" s="1"/>
  <c r="Q7" i="9" s="1"/>
  <c r="AE7" i="9" s="1"/>
  <c r="X8" i="9"/>
  <c r="AB8" i="9"/>
  <c r="AA8" i="9" s="1"/>
  <c r="Q8" i="9" s="1"/>
  <c r="AE8" i="9" s="1"/>
  <c r="X9" i="9"/>
  <c r="AB9" i="9"/>
  <c r="AA9" i="9" s="1"/>
  <c r="Q9" i="9" s="1"/>
  <c r="AE9" i="9" s="1"/>
  <c r="X10" i="9"/>
  <c r="AB10" i="9"/>
  <c r="AA10" i="9" s="1"/>
  <c r="Q10" i="9" s="1"/>
  <c r="AE10" i="9" s="1"/>
  <c r="X11" i="9"/>
  <c r="AB11" i="9"/>
  <c r="AA11" i="9" s="1"/>
  <c r="Q11" i="9" s="1"/>
  <c r="AE11" i="9" s="1"/>
  <c r="X12" i="9"/>
  <c r="AB12" i="9"/>
  <c r="AA12" i="9" s="1"/>
  <c r="Q12" i="9" s="1"/>
  <c r="AE12" i="9" s="1"/>
  <c r="X13" i="9"/>
  <c r="AB13" i="9"/>
  <c r="AA13" i="9" s="1"/>
  <c r="Q13" i="9" s="1"/>
  <c r="AE13" i="9" s="1"/>
  <c r="X14" i="9"/>
  <c r="AB14" i="9"/>
  <c r="AA14" i="9" s="1"/>
  <c r="Q14" i="9" s="1"/>
  <c r="AE14" i="9" s="1"/>
  <c r="X15" i="9"/>
  <c r="AB15" i="9"/>
  <c r="AA15" i="9" s="1"/>
  <c r="Q15" i="9" s="1"/>
  <c r="AE15" i="9" s="1"/>
  <c r="X16" i="9"/>
  <c r="AB16" i="9"/>
  <c r="AA16" i="9" s="1"/>
  <c r="Q16" i="9" s="1"/>
  <c r="AE16" i="9" s="1"/>
  <c r="X17" i="9"/>
  <c r="AB17" i="9"/>
  <c r="AA17" i="9" s="1"/>
  <c r="Q17" i="9" s="1"/>
  <c r="AE17" i="9" s="1"/>
  <c r="X18" i="9"/>
  <c r="AB18" i="9"/>
  <c r="AA18" i="9" s="1"/>
  <c r="Q18" i="9" s="1"/>
  <c r="AE18" i="9" s="1"/>
  <c r="X19" i="9"/>
  <c r="AB19" i="9"/>
  <c r="AA19" i="9" s="1"/>
  <c r="Q19" i="9" s="1"/>
  <c r="AE19" i="9" s="1"/>
  <c r="X20" i="9"/>
  <c r="AB20" i="9"/>
  <c r="AA20" i="9" s="1"/>
  <c r="Q20" i="9" s="1"/>
  <c r="AE20" i="9" s="1"/>
  <c r="X21" i="9"/>
  <c r="AB21" i="9"/>
  <c r="AA21" i="9" s="1"/>
  <c r="Q21" i="9" s="1"/>
  <c r="AE21" i="9" s="1"/>
  <c r="X22" i="9"/>
  <c r="AB22" i="9"/>
  <c r="AA22" i="9" s="1"/>
  <c r="Q22" i="9" s="1"/>
  <c r="AE22" i="9" s="1"/>
  <c r="X23" i="9"/>
  <c r="AB23" i="9"/>
  <c r="AA23" i="9" s="1"/>
  <c r="Q23" i="9" s="1"/>
  <c r="AE23" i="9" s="1"/>
  <c r="X24" i="9"/>
  <c r="AB24" i="9"/>
  <c r="AA24" i="9" s="1"/>
  <c r="Q24" i="9" s="1"/>
  <c r="AE24" i="9" s="1"/>
  <c r="X25" i="9"/>
  <c r="AB25" i="9"/>
  <c r="AA25" i="9" s="1"/>
  <c r="Q25" i="9" s="1"/>
  <c r="AE25" i="9" s="1"/>
  <c r="X26" i="9"/>
  <c r="AB26" i="9"/>
  <c r="AA26" i="9" s="1"/>
  <c r="Q26" i="9" s="1"/>
  <c r="AE26" i="9" s="1"/>
  <c r="X27" i="9"/>
  <c r="AB27" i="9"/>
  <c r="AA27" i="9" s="1"/>
  <c r="Q27" i="9" s="1"/>
  <c r="AE27" i="9" s="1"/>
  <c r="X28" i="9"/>
  <c r="AB28" i="9"/>
  <c r="AA28" i="9" s="1"/>
  <c r="Q28" i="9" s="1"/>
  <c r="AE28" i="9" s="1"/>
  <c r="X29" i="9"/>
  <c r="AB29" i="9"/>
  <c r="AA29" i="9" s="1"/>
  <c r="Q29" i="9" s="1"/>
  <c r="AE29" i="9" s="1"/>
  <c r="X30" i="9"/>
  <c r="AB30" i="9"/>
  <c r="AA30" i="9" s="1"/>
  <c r="Q30" i="9" s="1"/>
  <c r="AE30" i="9" s="1"/>
  <c r="X31" i="9"/>
  <c r="AB31" i="9"/>
  <c r="AA31" i="9" s="1"/>
  <c r="Q31" i="9" s="1"/>
  <c r="AE31" i="9" s="1"/>
  <c r="X32" i="9"/>
  <c r="AB32" i="9"/>
  <c r="AA32" i="9" s="1"/>
  <c r="Q32" i="9" s="1"/>
  <c r="AE32" i="9" s="1"/>
  <c r="X33" i="9"/>
  <c r="AB33" i="9"/>
  <c r="AA33" i="9" s="1"/>
  <c r="Q33" i="9" s="1"/>
  <c r="AE33" i="9" s="1"/>
  <c r="X34" i="9"/>
  <c r="AB34" i="9"/>
  <c r="AA34" i="9" s="1"/>
  <c r="Q34" i="9" s="1"/>
  <c r="AE34" i="9" s="1"/>
  <c r="X35" i="9"/>
  <c r="AB35" i="9"/>
  <c r="X36" i="9"/>
  <c r="AB36" i="9"/>
  <c r="X37" i="9"/>
  <c r="AB37" i="9"/>
  <c r="AA37" i="9" s="1"/>
  <c r="Q37" i="9" s="1"/>
  <c r="AE37" i="9" s="1"/>
  <c r="X38" i="9"/>
  <c r="AB38" i="9"/>
  <c r="X39" i="9"/>
  <c r="AB39" i="9"/>
  <c r="X40" i="9"/>
  <c r="AB40" i="9"/>
  <c r="AA40" i="9" s="1"/>
  <c r="Q40" i="9" s="1"/>
  <c r="AE40" i="9" s="1"/>
  <c r="X41" i="9"/>
  <c r="AB41" i="9"/>
  <c r="X42" i="9"/>
  <c r="AB42" i="9"/>
  <c r="X43" i="9"/>
  <c r="AB43" i="9"/>
  <c r="X44" i="9"/>
  <c r="AB44" i="9"/>
  <c r="AA44" i="9" s="1"/>
  <c r="Q44" i="9" s="1"/>
  <c r="AE44" i="9" s="1"/>
  <c r="X45" i="9"/>
  <c r="AB45" i="9"/>
  <c r="X46" i="9"/>
  <c r="AB46" i="9"/>
  <c r="X47" i="9"/>
  <c r="AB47" i="9"/>
  <c r="AA47" i="9" s="1"/>
  <c r="Q47" i="9" s="1"/>
  <c r="AE47" i="9" s="1"/>
  <c r="X48" i="9"/>
  <c r="AB48" i="9"/>
  <c r="X49" i="9"/>
  <c r="AB49" i="9"/>
  <c r="AA49" i="9" s="1"/>
  <c r="Q49" i="9" s="1"/>
  <c r="AE49" i="9" s="1"/>
  <c r="X50" i="9"/>
  <c r="AB50" i="9"/>
  <c r="X51" i="9"/>
  <c r="AB51" i="9"/>
  <c r="X52" i="9"/>
  <c r="AB52" i="9"/>
  <c r="X53" i="9"/>
  <c r="AB53" i="9"/>
  <c r="AA53" i="9" s="1"/>
  <c r="Q53" i="9" s="1"/>
  <c r="AE53" i="9" s="1"/>
  <c r="X54" i="9"/>
  <c r="Y54" i="9" s="1"/>
  <c r="AB54" i="9"/>
  <c r="X55" i="9"/>
  <c r="AB55" i="9"/>
  <c r="X56" i="9"/>
  <c r="Y56" i="9" s="1"/>
  <c r="AB56" i="9"/>
  <c r="X57" i="9"/>
  <c r="AB57" i="9"/>
  <c r="X58" i="9"/>
  <c r="AB58" i="9"/>
  <c r="X59" i="9"/>
  <c r="AB59" i="9"/>
  <c r="X60" i="9"/>
  <c r="AB60" i="9"/>
  <c r="X61" i="9"/>
  <c r="AB61" i="9"/>
  <c r="X62" i="9"/>
  <c r="Y62" i="9" s="1"/>
  <c r="AB62" i="9"/>
  <c r="X63" i="9"/>
  <c r="AB63" i="9"/>
  <c r="X64" i="9"/>
  <c r="Y64" i="9" s="1"/>
  <c r="AB64" i="9"/>
  <c r="Z64" i="9" s="1"/>
  <c r="P64" i="9" s="1"/>
  <c r="AD64" i="9" s="1"/>
  <c r="X65" i="9"/>
  <c r="AB65" i="9"/>
  <c r="X66" i="9"/>
  <c r="AB66" i="9"/>
  <c r="X67" i="9"/>
  <c r="AB67" i="9"/>
  <c r="X68" i="9"/>
  <c r="AB68" i="9"/>
  <c r="X69" i="9"/>
  <c r="AB69" i="9"/>
  <c r="X70" i="9"/>
  <c r="Y70" i="9" s="1"/>
  <c r="AB70" i="9"/>
  <c r="X71" i="9"/>
  <c r="AB71" i="9"/>
  <c r="X72" i="9"/>
  <c r="Y72" i="9" s="1"/>
  <c r="AB72" i="9"/>
  <c r="Z72" i="9" s="1"/>
  <c r="P72" i="9" s="1"/>
  <c r="AD72" i="9" s="1"/>
  <c r="X73" i="9"/>
  <c r="AB73" i="9"/>
  <c r="X74" i="9"/>
  <c r="AB74" i="9"/>
  <c r="X75" i="9"/>
  <c r="Y75" i="9" s="1"/>
  <c r="AB75" i="9"/>
  <c r="X76" i="9"/>
  <c r="AB76" i="9"/>
  <c r="AA76" i="9" s="1"/>
  <c r="Q76" i="9" s="1"/>
  <c r="AE76" i="9" s="1"/>
  <c r="X77" i="9"/>
  <c r="AB77" i="9"/>
  <c r="X78" i="9"/>
  <c r="AB78" i="9"/>
  <c r="X79" i="9"/>
  <c r="AB79" i="9"/>
  <c r="AA79" i="9" s="1"/>
  <c r="Q79" i="9" s="1"/>
  <c r="AE79" i="9" s="1"/>
  <c r="X80" i="9"/>
  <c r="AB80" i="9"/>
  <c r="X81" i="9"/>
  <c r="AB81" i="9"/>
  <c r="X82" i="9"/>
  <c r="AB82" i="9"/>
  <c r="X83" i="9"/>
  <c r="AB83" i="9"/>
  <c r="AA83" i="9" s="1"/>
  <c r="Q83" i="9" s="1"/>
  <c r="AE83" i="9" s="1"/>
  <c r="X84" i="9"/>
  <c r="AB84" i="9"/>
  <c r="X85" i="9"/>
  <c r="AB85" i="9"/>
  <c r="X86" i="9"/>
  <c r="AB86" i="9"/>
  <c r="X87" i="9"/>
  <c r="Y87" i="9" s="1"/>
  <c r="AB87" i="9"/>
  <c r="AA87" i="9" s="1"/>
  <c r="Q87" i="9" s="1"/>
  <c r="AE87" i="9" s="1"/>
  <c r="X88" i="9"/>
  <c r="AB88" i="9"/>
  <c r="X89" i="9"/>
  <c r="AB89" i="9"/>
  <c r="X90" i="9"/>
  <c r="AB90" i="9"/>
  <c r="X91" i="9"/>
  <c r="AB91" i="9"/>
  <c r="X92" i="9"/>
  <c r="AB92" i="9"/>
  <c r="X93" i="9"/>
  <c r="AB93" i="9"/>
  <c r="X94" i="9"/>
  <c r="AB94" i="9"/>
  <c r="X95" i="9"/>
  <c r="AB95" i="9"/>
  <c r="X96" i="9"/>
  <c r="AB96" i="9"/>
  <c r="X97" i="9"/>
  <c r="AB97" i="9"/>
  <c r="X98" i="9"/>
  <c r="AB98" i="9"/>
  <c r="X99" i="9"/>
  <c r="AB99" i="9"/>
  <c r="X100" i="9"/>
  <c r="AB100" i="9"/>
  <c r="X101" i="9"/>
  <c r="AB101" i="9"/>
  <c r="X102" i="9"/>
  <c r="AB102" i="9"/>
  <c r="X103" i="9"/>
  <c r="Y103" i="9" s="1"/>
  <c r="AB103" i="9"/>
  <c r="AA103" i="9" s="1"/>
  <c r="Q103" i="9" s="1"/>
  <c r="AE103" i="9" s="1"/>
  <c r="X104" i="9"/>
  <c r="AB104" i="9"/>
  <c r="X105" i="9"/>
  <c r="AB105" i="9"/>
  <c r="X106" i="9"/>
  <c r="AB106" i="9"/>
  <c r="X107" i="9"/>
  <c r="AB107" i="9"/>
  <c r="AA107" i="9" s="1"/>
  <c r="Q107" i="9" s="1"/>
  <c r="AE107" i="9" s="1"/>
  <c r="X108" i="9"/>
  <c r="AB108" i="9"/>
  <c r="X109" i="9"/>
  <c r="AB109" i="9"/>
  <c r="X110" i="9"/>
  <c r="AB110" i="9"/>
  <c r="X111" i="9"/>
  <c r="AB111" i="9"/>
  <c r="AA111" i="9" s="1"/>
  <c r="Q111" i="9" s="1"/>
  <c r="AE111" i="9" s="1"/>
  <c r="X112" i="9"/>
  <c r="AB112" i="9"/>
  <c r="X113" i="9"/>
  <c r="AB113" i="9"/>
  <c r="X114" i="9"/>
  <c r="AB114" i="9"/>
  <c r="X115" i="9"/>
  <c r="AB115" i="9"/>
  <c r="AA115" i="9" s="1"/>
  <c r="Q115" i="9" s="1"/>
  <c r="AE115" i="9" s="1"/>
  <c r="X116" i="9"/>
  <c r="AB116" i="9"/>
  <c r="X117" i="9"/>
  <c r="AB117" i="9"/>
  <c r="X118" i="9"/>
  <c r="AB118" i="9"/>
  <c r="X119" i="9"/>
  <c r="Y119" i="9" s="1"/>
  <c r="AB119" i="9"/>
  <c r="AA119" i="9" s="1"/>
  <c r="Q119" i="9" s="1"/>
  <c r="AE119" i="9" s="1"/>
  <c r="X120" i="9"/>
  <c r="AB120" i="9"/>
  <c r="X121" i="9"/>
  <c r="AB121" i="9"/>
  <c r="X122" i="9"/>
  <c r="AB122" i="9"/>
  <c r="X123" i="9"/>
  <c r="AB123" i="9"/>
  <c r="X124" i="9"/>
  <c r="AB124" i="9"/>
  <c r="X125" i="9"/>
  <c r="AB125" i="9"/>
  <c r="X126" i="9"/>
  <c r="AB126" i="9"/>
  <c r="X127" i="9"/>
  <c r="AB127" i="9"/>
  <c r="X128" i="9"/>
  <c r="AB128" i="9"/>
  <c r="X129" i="9"/>
  <c r="AB129" i="9"/>
  <c r="X130" i="9"/>
  <c r="AB130" i="9"/>
  <c r="X131" i="9"/>
  <c r="AB131" i="9"/>
  <c r="X132" i="9"/>
  <c r="AB132" i="9"/>
  <c r="X133" i="9"/>
  <c r="AB133" i="9"/>
  <c r="X134" i="9"/>
  <c r="AB134" i="9"/>
  <c r="X135" i="9"/>
  <c r="Y135" i="9" s="1"/>
  <c r="AB135" i="9"/>
  <c r="AA135" i="9" s="1"/>
  <c r="Q135" i="9" s="1"/>
  <c r="AE135" i="9" s="1"/>
  <c r="X136" i="9"/>
  <c r="AB136" i="9"/>
  <c r="X137" i="9"/>
  <c r="AB137" i="9"/>
  <c r="X138" i="9"/>
  <c r="AB138" i="9"/>
  <c r="X139" i="9"/>
  <c r="AB139" i="9"/>
  <c r="X140" i="9"/>
  <c r="AB140" i="9"/>
  <c r="X141" i="9"/>
  <c r="AB141" i="9"/>
  <c r="X142" i="9"/>
  <c r="AB142" i="9"/>
  <c r="X143" i="9"/>
  <c r="AB143" i="9"/>
  <c r="X144" i="9"/>
  <c r="AB144" i="9"/>
  <c r="AA144" i="9" s="1"/>
  <c r="Q144" i="9" s="1"/>
  <c r="AE144" i="9" s="1"/>
  <c r="X145" i="9"/>
  <c r="AB145" i="9"/>
  <c r="X146" i="9"/>
  <c r="AB146" i="9"/>
  <c r="X147" i="9"/>
  <c r="AB147" i="9"/>
  <c r="X148" i="9"/>
  <c r="AB148" i="9"/>
  <c r="AA148" i="9" s="1"/>
  <c r="Q148" i="9" s="1"/>
  <c r="AE148" i="9" s="1"/>
  <c r="X149" i="9"/>
  <c r="AB149" i="9"/>
  <c r="X150" i="9"/>
  <c r="AB150" i="9"/>
  <c r="X151" i="9"/>
  <c r="Y151" i="9" s="1"/>
  <c r="AB151" i="9"/>
  <c r="X152" i="9"/>
  <c r="AB152" i="9"/>
  <c r="X153" i="9"/>
  <c r="AB153" i="9"/>
  <c r="X154" i="9"/>
  <c r="AB154" i="9"/>
  <c r="X155" i="9"/>
  <c r="AB155" i="9"/>
  <c r="AA155" i="9" s="1"/>
  <c r="Q155" i="9" s="1"/>
  <c r="AE155" i="9" s="1"/>
  <c r="X156" i="9"/>
  <c r="AB156" i="9"/>
  <c r="X157" i="9"/>
  <c r="AB157" i="9"/>
  <c r="X158" i="9"/>
  <c r="AB158" i="9"/>
  <c r="AA158" i="9" s="1"/>
  <c r="Q158" i="9" s="1"/>
  <c r="AE158" i="9" s="1"/>
  <c r="X159" i="9"/>
  <c r="AB159" i="9"/>
  <c r="X160" i="9"/>
  <c r="AB160" i="9"/>
  <c r="X161" i="9"/>
  <c r="AB161" i="9"/>
  <c r="X162" i="9"/>
  <c r="AB162" i="9"/>
  <c r="AA162" i="9" s="1"/>
  <c r="Q162" i="9" s="1"/>
  <c r="AE162" i="9" s="1"/>
  <c r="X163" i="9"/>
  <c r="AB163" i="9"/>
  <c r="AA163" i="9" s="1"/>
  <c r="Q163" i="9" s="1"/>
  <c r="AE163" i="9" s="1"/>
  <c r="X164" i="9"/>
  <c r="AB164" i="9"/>
  <c r="X165" i="9"/>
  <c r="AB165" i="9"/>
  <c r="X166" i="9"/>
  <c r="AB166" i="9"/>
  <c r="X167" i="9"/>
  <c r="AB167" i="9"/>
  <c r="X168" i="9"/>
  <c r="AB168" i="9"/>
  <c r="X169" i="9"/>
  <c r="AB169" i="9"/>
  <c r="X170" i="9"/>
  <c r="AB170" i="9"/>
  <c r="AA170" i="9" s="1"/>
  <c r="Q170" i="9" s="1"/>
  <c r="AE170" i="9" s="1"/>
  <c r="X171" i="9"/>
  <c r="AB171" i="9"/>
  <c r="X172" i="9"/>
  <c r="AB172" i="9"/>
  <c r="AA172" i="9" s="1"/>
  <c r="X173" i="9"/>
  <c r="AB173" i="9"/>
  <c r="AA173" i="9" s="1"/>
  <c r="Q173" i="9" s="1"/>
  <c r="AE173" i="9" s="1"/>
  <c r="X174" i="9"/>
  <c r="AB174" i="9"/>
  <c r="AA174" i="9" s="1"/>
  <c r="Q174" i="9" s="1"/>
  <c r="AE174" i="9" s="1"/>
  <c r="X175" i="9"/>
  <c r="AB175" i="9"/>
  <c r="X176" i="9"/>
  <c r="AB176" i="9"/>
  <c r="AA176" i="9" s="1"/>
  <c r="Q176" i="9" s="1"/>
  <c r="AE176" i="9" s="1"/>
  <c r="X177" i="9"/>
  <c r="AB177" i="9"/>
  <c r="X178" i="9"/>
  <c r="AB178" i="9"/>
  <c r="X179" i="9"/>
  <c r="AB179" i="9"/>
  <c r="X180" i="9"/>
  <c r="AB180" i="9"/>
  <c r="AA180" i="9" s="1"/>
  <c r="Q180" i="9" s="1"/>
  <c r="AE180" i="9" s="1"/>
  <c r="X181" i="9"/>
  <c r="AB181" i="9"/>
  <c r="X182" i="9"/>
  <c r="AB182" i="9"/>
  <c r="X183" i="9"/>
  <c r="AB183" i="9"/>
  <c r="X184" i="9"/>
  <c r="AB184" i="9"/>
  <c r="AA184" i="9" s="1"/>
  <c r="Q184" i="9" s="1"/>
  <c r="AE184" i="9" s="1"/>
  <c r="X185" i="9"/>
  <c r="AB185" i="9"/>
  <c r="AA185" i="9" s="1"/>
  <c r="Q185" i="9" s="1"/>
  <c r="AE185" i="9" s="1"/>
  <c r="X186" i="9"/>
  <c r="AB186" i="9"/>
  <c r="AA186" i="9" s="1"/>
  <c r="X187" i="9"/>
  <c r="AB187" i="9"/>
  <c r="X188" i="9"/>
  <c r="AB188" i="9"/>
  <c r="AA188" i="9" s="1"/>
  <c r="Q188" i="9" s="1"/>
  <c r="AE188" i="9" s="1"/>
  <c r="X189" i="9"/>
  <c r="AB189" i="9"/>
  <c r="X190" i="9"/>
  <c r="AB190" i="9"/>
  <c r="AA190" i="9" s="1"/>
  <c r="Q190" i="9" s="1"/>
  <c r="AE190" i="9" s="1"/>
  <c r="X191" i="9"/>
  <c r="AB191" i="9"/>
  <c r="X192" i="9"/>
  <c r="AB192" i="9"/>
  <c r="AA192" i="9" s="1"/>
  <c r="X193" i="9"/>
  <c r="Y193" i="9" s="1"/>
  <c r="AB193" i="9"/>
  <c r="X194" i="9"/>
  <c r="AB194" i="9"/>
  <c r="AA194" i="9" s="1"/>
  <c r="Q194" i="9" s="1"/>
  <c r="AE194" i="9" s="1"/>
  <c r="X195" i="9"/>
  <c r="AB195" i="9"/>
  <c r="X196" i="9"/>
  <c r="AB196" i="9"/>
  <c r="AA196" i="9" s="1"/>
  <c r="X197" i="9"/>
  <c r="AB197" i="9"/>
  <c r="X198" i="9"/>
  <c r="AB198" i="9"/>
  <c r="AA198" i="9" s="1"/>
  <c r="Q198" i="9" s="1"/>
  <c r="AE198" i="9" s="1"/>
  <c r="X199" i="9"/>
  <c r="AB199" i="9"/>
  <c r="X200" i="9"/>
  <c r="AB200" i="9"/>
  <c r="AA200" i="9" s="1"/>
  <c r="X201" i="9"/>
  <c r="AB201" i="9"/>
  <c r="X202" i="9"/>
  <c r="AB202" i="9"/>
  <c r="AA202" i="9" s="1"/>
  <c r="Q202" i="9" s="1"/>
  <c r="AE202" i="9" s="1"/>
  <c r="X203" i="9"/>
  <c r="AB203" i="9"/>
  <c r="X204" i="9"/>
  <c r="AB204" i="9"/>
  <c r="AA204" i="9" s="1"/>
  <c r="X205" i="9"/>
  <c r="AB205" i="9"/>
  <c r="AA205" i="9" s="1"/>
  <c r="Q205" i="9" s="1"/>
  <c r="AE205" i="9" s="1"/>
  <c r="X206" i="9"/>
  <c r="AB206" i="9"/>
  <c r="AA206" i="9" s="1"/>
  <c r="Q206" i="9" s="1"/>
  <c r="AE206" i="9" s="1"/>
  <c r="X207" i="9"/>
  <c r="AB207" i="9"/>
  <c r="X208" i="9"/>
  <c r="AB208" i="9"/>
  <c r="X209" i="9"/>
  <c r="AB209" i="9"/>
  <c r="X210" i="9"/>
  <c r="AB210" i="9"/>
  <c r="AA210" i="9" s="1"/>
  <c r="Q210" i="9" s="1"/>
  <c r="AE210" i="9" s="1"/>
  <c r="X211" i="9"/>
  <c r="AB211" i="9"/>
  <c r="X212" i="9"/>
  <c r="AB212" i="9"/>
  <c r="AA212" i="9" s="1"/>
  <c r="Q212" i="9" s="1"/>
  <c r="AE212" i="9" s="1"/>
  <c r="X213" i="9"/>
  <c r="AB213" i="9"/>
  <c r="X214" i="9"/>
  <c r="AB214" i="9"/>
  <c r="AA214" i="9" s="1"/>
  <c r="Q214" i="9" s="1"/>
  <c r="AE214" i="9" s="1"/>
  <c r="X215" i="9"/>
  <c r="AB215" i="9"/>
  <c r="X216" i="9"/>
  <c r="AB216" i="9"/>
  <c r="X217" i="9"/>
  <c r="AB217" i="9"/>
  <c r="AA217" i="9" s="1"/>
  <c r="Q217" i="9" s="1"/>
  <c r="AE217" i="9" s="1"/>
  <c r="X218" i="9"/>
  <c r="AB218" i="9"/>
  <c r="AA218" i="9" s="1"/>
  <c r="X219" i="9"/>
  <c r="AB219" i="9"/>
  <c r="X220" i="9"/>
  <c r="AB220" i="9"/>
  <c r="AA220" i="9" s="1"/>
  <c r="Q220" i="9" s="1"/>
  <c r="AE220" i="9" s="1"/>
  <c r="X221" i="9"/>
  <c r="AB221" i="9"/>
  <c r="X222" i="9"/>
  <c r="AB222" i="9"/>
  <c r="AA222" i="9" s="1"/>
  <c r="Q222" i="9" s="1"/>
  <c r="AE222" i="9" s="1"/>
  <c r="X223" i="9"/>
  <c r="AB223" i="9"/>
  <c r="X224" i="9"/>
  <c r="AB224" i="9"/>
  <c r="AA224" i="9" s="1"/>
  <c r="Q224" i="9" s="1"/>
  <c r="AE224" i="9" s="1"/>
  <c r="X225" i="9"/>
  <c r="Y225" i="9" s="1"/>
  <c r="AB225" i="9"/>
  <c r="X226" i="9"/>
  <c r="AB226" i="9"/>
  <c r="AA226" i="9" s="1"/>
  <c r="Q226" i="9" s="1"/>
  <c r="AE226" i="9" s="1"/>
  <c r="X227" i="9"/>
  <c r="AB227" i="9"/>
  <c r="X228" i="9"/>
  <c r="AB228" i="9"/>
  <c r="AA228" i="9" s="1"/>
  <c r="X229" i="9"/>
  <c r="AB229" i="9"/>
  <c r="X230" i="9"/>
  <c r="AB230" i="9"/>
  <c r="AA230" i="9" s="1"/>
  <c r="Q230" i="9" s="1"/>
  <c r="AE230" i="9" s="1"/>
  <c r="X231" i="9"/>
  <c r="AB231" i="9"/>
  <c r="X232" i="9"/>
  <c r="AB232" i="9"/>
  <c r="AA232" i="9" s="1"/>
  <c r="X233" i="9"/>
  <c r="AB233" i="9"/>
  <c r="X234" i="9"/>
  <c r="AB234" i="9"/>
  <c r="AA234" i="9" s="1"/>
  <c r="Q234" i="9" s="1"/>
  <c r="AE234" i="9" s="1"/>
  <c r="X235" i="9"/>
  <c r="AB235" i="9"/>
  <c r="X236" i="9"/>
  <c r="AB236" i="9"/>
  <c r="AA236" i="9" s="1"/>
  <c r="X237" i="9"/>
  <c r="AB237" i="9"/>
  <c r="AA237" i="9" s="1"/>
  <c r="Q237" i="9" s="1"/>
  <c r="AE237" i="9" s="1"/>
  <c r="X238" i="9"/>
  <c r="AB238" i="9"/>
  <c r="AA238" i="9" s="1"/>
  <c r="Q238" i="9" s="1"/>
  <c r="AE238" i="9" s="1"/>
  <c r="X239" i="9"/>
  <c r="AB239" i="9"/>
  <c r="X240" i="9"/>
  <c r="AB240" i="9"/>
  <c r="AA240" i="9" s="1"/>
  <c r="Q240" i="9" s="1"/>
  <c r="AE240" i="9" s="1"/>
  <c r="X241" i="9"/>
  <c r="AB241" i="9"/>
  <c r="X242" i="9"/>
  <c r="AB242" i="9"/>
  <c r="AA242" i="9" s="1"/>
  <c r="Q242" i="9" s="1"/>
  <c r="AE242" i="9" s="1"/>
  <c r="X243" i="9"/>
  <c r="AB243" i="9"/>
  <c r="X244" i="9"/>
  <c r="AB244" i="9"/>
  <c r="AA244" i="9" s="1"/>
  <c r="Q244" i="9" s="1"/>
  <c r="AE244" i="9" s="1"/>
  <c r="X245" i="9"/>
  <c r="AB245" i="9"/>
  <c r="X246" i="9"/>
  <c r="AB246" i="9"/>
  <c r="AA246" i="9" s="1"/>
  <c r="Q246" i="9" s="1"/>
  <c r="AE246" i="9" s="1"/>
  <c r="X247" i="9"/>
  <c r="AB247" i="9"/>
  <c r="X248" i="9"/>
  <c r="AB248" i="9"/>
  <c r="AA248" i="9" s="1"/>
  <c r="Q248" i="9" s="1"/>
  <c r="AE248" i="9" s="1"/>
  <c r="X249" i="9"/>
  <c r="AB249" i="9"/>
  <c r="AA249" i="9" s="1"/>
  <c r="Q249" i="9" s="1"/>
  <c r="AE249" i="9" s="1"/>
  <c r="X250" i="9"/>
  <c r="AB250" i="9"/>
  <c r="X251" i="9"/>
  <c r="AB251" i="9"/>
  <c r="X252" i="9"/>
  <c r="AB252" i="9"/>
  <c r="AA252" i="9" s="1"/>
  <c r="Q252" i="9" s="1"/>
  <c r="AE252" i="9" s="1"/>
  <c r="X253" i="9"/>
  <c r="AB253" i="9"/>
  <c r="X254" i="9"/>
  <c r="AB254" i="9"/>
  <c r="AA254" i="9" s="1"/>
  <c r="Q254" i="9" s="1"/>
  <c r="AE254" i="9" s="1"/>
  <c r="X255" i="9"/>
  <c r="AB255" i="9"/>
  <c r="X256" i="9"/>
  <c r="AB256" i="9"/>
  <c r="X257" i="9"/>
  <c r="Y257" i="9" s="1"/>
  <c r="AB257" i="9"/>
  <c r="X258" i="9"/>
  <c r="AB258" i="9"/>
  <c r="AA258" i="9" s="1"/>
  <c r="Q258" i="9" s="1"/>
  <c r="AE258" i="9" s="1"/>
  <c r="X259" i="9"/>
  <c r="AB259" i="9"/>
  <c r="X260" i="9"/>
  <c r="AB260" i="9"/>
  <c r="AA260" i="9" s="1"/>
  <c r="Q260" i="9" s="1"/>
  <c r="AE260" i="9" s="1"/>
  <c r="X261" i="9"/>
  <c r="AB261" i="9"/>
  <c r="X262" i="9"/>
  <c r="AB262" i="9"/>
  <c r="AA262" i="9" s="1"/>
  <c r="Q262" i="9" s="1"/>
  <c r="AE262" i="9" s="1"/>
  <c r="X263" i="9"/>
  <c r="AB263" i="9"/>
  <c r="X264" i="9"/>
  <c r="AB264" i="9"/>
  <c r="X265" i="9"/>
  <c r="AB265" i="9"/>
  <c r="X266" i="9"/>
  <c r="AB266" i="9"/>
  <c r="AA266" i="9" s="1"/>
  <c r="Q266" i="9" s="1"/>
  <c r="AE266" i="9" s="1"/>
  <c r="X267" i="9"/>
  <c r="AB267" i="9"/>
  <c r="X268" i="9"/>
  <c r="AB268" i="9"/>
  <c r="AA268" i="9" s="1"/>
  <c r="Q268" i="9" s="1"/>
  <c r="AE268" i="9" s="1"/>
  <c r="X269" i="9"/>
  <c r="AB269" i="9"/>
  <c r="AA269" i="9" s="1"/>
  <c r="Q269" i="9" s="1"/>
  <c r="AE269" i="9" s="1"/>
  <c r="X270" i="9"/>
  <c r="AB270" i="9"/>
  <c r="AA270" i="9" s="1"/>
  <c r="Q270" i="9" s="1"/>
  <c r="AE270" i="9" s="1"/>
  <c r="X271" i="9"/>
  <c r="AB271" i="9"/>
  <c r="X272" i="9"/>
  <c r="AB272" i="9"/>
  <c r="AA272" i="9" s="1"/>
  <c r="Q272" i="9" s="1"/>
  <c r="AE272" i="9" s="1"/>
  <c r="X273" i="9"/>
  <c r="AB273" i="9"/>
  <c r="X274" i="9"/>
  <c r="AB274" i="9"/>
  <c r="AA274" i="9" s="1"/>
  <c r="Q274" i="9" s="1"/>
  <c r="AE274" i="9" s="1"/>
  <c r="X275" i="9"/>
  <c r="AB275" i="9"/>
  <c r="X276" i="9"/>
  <c r="AB276" i="9"/>
  <c r="AA276" i="9" s="1"/>
  <c r="Q276" i="9" s="1"/>
  <c r="AE276" i="9" s="1"/>
  <c r="X277" i="9"/>
  <c r="AB277" i="9"/>
  <c r="X278" i="9"/>
  <c r="AB278" i="9"/>
  <c r="AA278" i="9" s="1"/>
  <c r="Q278" i="9" s="1"/>
  <c r="AE278" i="9" s="1"/>
  <c r="X279" i="9"/>
  <c r="AB279" i="9"/>
  <c r="X280" i="9"/>
  <c r="AB280" i="9"/>
  <c r="AA280" i="9" s="1"/>
  <c r="Q280" i="9" s="1"/>
  <c r="AE280" i="9" s="1"/>
  <c r="X281" i="9"/>
  <c r="AB281" i="9"/>
  <c r="X282" i="9"/>
  <c r="AB282" i="9"/>
  <c r="AA282" i="9" s="1"/>
  <c r="Q282" i="9" s="1"/>
  <c r="AE282" i="9" s="1"/>
  <c r="X283" i="9"/>
  <c r="AB283" i="9"/>
  <c r="X284" i="9"/>
  <c r="AB284" i="9"/>
  <c r="AA284" i="9" s="1"/>
  <c r="Q284" i="9" s="1"/>
  <c r="AE284" i="9" s="1"/>
  <c r="X285" i="9"/>
  <c r="AB285" i="9"/>
  <c r="X286" i="9"/>
  <c r="AB286" i="9"/>
  <c r="X287" i="9"/>
  <c r="AB287" i="9"/>
  <c r="X288" i="9"/>
  <c r="AB288" i="9"/>
  <c r="AA288" i="9" s="1"/>
  <c r="Q288" i="9" s="1"/>
  <c r="AE288" i="9" s="1"/>
  <c r="X289" i="9"/>
  <c r="Y289" i="9" s="1"/>
  <c r="AB289" i="9"/>
  <c r="X290" i="9"/>
  <c r="AB290" i="9"/>
  <c r="AA290" i="9" s="1"/>
  <c r="Q290" i="9" s="1"/>
  <c r="AE290" i="9" s="1"/>
  <c r="X291" i="9"/>
  <c r="AB291" i="9"/>
  <c r="X292" i="9"/>
  <c r="AB292" i="9"/>
  <c r="AA292" i="9" s="1"/>
  <c r="Q292" i="9" s="1"/>
  <c r="AE292" i="9" s="1"/>
  <c r="X293" i="9"/>
  <c r="AB293" i="9"/>
  <c r="X294" i="9"/>
  <c r="AB294" i="9"/>
  <c r="AA294" i="9" s="1"/>
  <c r="Q294" i="9" s="1"/>
  <c r="AE294" i="9" s="1"/>
  <c r="X295" i="9"/>
  <c r="AB295" i="9"/>
  <c r="X296" i="9"/>
  <c r="AB296" i="9"/>
  <c r="AA296" i="9" s="1"/>
  <c r="Q296" i="9" s="1"/>
  <c r="AE296" i="9" s="1"/>
  <c r="X297" i="9"/>
  <c r="AB297" i="9"/>
  <c r="X298" i="9"/>
  <c r="AB298" i="9"/>
  <c r="AA298" i="9" s="1"/>
  <c r="Q298" i="9" s="1"/>
  <c r="AE298" i="9" s="1"/>
  <c r="X299" i="9"/>
  <c r="AB299" i="9"/>
  <c r="X300" i="9"/>
  <c r="AB300" i="9"/>
  <c r="AA300" i="9" s="1"/>
  <c r="Q300" i="9" s="1"/>
  <c r="AE300" i="9" s="1"/>
  <c r="X301" i="9"/>
  <c r="AB301" i="9"/>
  <c r="AA301" i="9" s="1"/>
  <c r="Q301" i="9" s="1"/>
  <c r="AE301" i="9" s="1"/>
  <c r="X302" i="9"/>
  <c r="AB302" i="9"/>
  <c r="X303" i="9"/>
  <c r="AB303" i="9"/>
  <c r="AA303" i="9" s="1"/>
  <c r="Q303" i="9" s="1"/>
  <c r="AE303" i="9" s="1"/>
  <c r="X304" i="9"/>
  <c r="AB304" i="9"/>
  <c r="AA304" i="9" s="1"/>
  <c r="Q304" i="9" s="1"/>
  <c r="AE304" i="9" s="1"/>
  <c r="X305" i="9"/>
  <c r="AB305" i="9"/>
  <c r="X306" i="9"/>
  <c r="AB306" i="9"/>
  <c r="X307" i="9"/>
  <c r="AB307" i="9"/>
  <c r="AA307" i="9" s="1"/>
  <c r="Q307" i="9" s="1"/>
  <c r="AE307" i="9" s="1"/>
  <c r="X308" i="9"/>
  <c r="AB308" i="9"/>
  <c r="AA308" i="9" s="1"/>
  <c r="Q308" i="9" s="1"/>
  <c r="AE308" i="9" s="1"/>
  <c r="X309" i="9"/>
  <c r="AB309" i="9"/>
  <c r="AA309" i="9" s="1"/>
  <c r="Q309" i="9" s="1"/>
  <c r="AE309" i="9" s="1"/>
  <c r="X310" i="9"/>
  <c r="AB310" i="9"/>
  <c r="AA310" i="9" s="1"/>
  <c r="Q310" i="9" s="1"/>
  <c r="AE310" i="9" s="1"/>
  <c r="X311" i="9"/>
  <c r="AB311" i="9"/>
  <c r="X312" i="9"/>
  <c r="AB312" i="9"/>
  <c r="AA312" i="9" s="1"/>
  <c r="Q312" i="9" s="1"/>
  <c r="AE312" i="9" s="1"/>
  <c r="X313" i="9"/>
  <c r="AB313" i="9"/>
  <c r="AA313" i="9" s="1"/>
  <c r="Q313" i="9" s="1"/>
  <c r="AE313" i="9" s="1"/>
  <c r="X314" i="9"/>
  <c r="AB314" i="9"/>
  <c r="AA314" i="9" s="1"/>
  <c r="Q314" i="9" s="1"/>
  <c r="AE314" i="9" s="1"/>
  <c r="X315" i="9"/>
  <c r="AB315" i="9"/>
  <c r="X316" i="9"/>
  <c r="AB316" i="9"/>
  <c r="X317" i="9"/>
  <c r="AB317" i="9"/>
  <c r="AA317" i="9" s="1"/>
  <c r="Q317" i="9" s="1"/>
  <c r="AE317" i="9" s="1"/>
  <c r="X318" i="9"/>
  <c r="AB318" i="9"/>
  <c r="AA318" i="9" s="1"/>
  <c r="Q318" i="9" s="1"/>
  <c r="AE318" i="9" s="1"/>
  <c r="X319" i="9"/>
  <c r="AB319" i="9"/>
  <c r="X320" i="9"/>
  <c r="AB320" i="9"/>
  <c r="AA320" i="9" s="1"/>
  <c r="Q320" i="9" s="1"/>
  <c r="AE320" i="9" s="1"/>
  <c r="X321" i="9"/>
  <c r="Y321" i="9" s="1"/>
  <c r="AB321" i="9"/>
  <c r="AA321" i="9" s="1"/>
  <c r="Q321" i="9" s="1"/>
  <c r="AE321" i="9" s="1"/>
  <c r="X322" i="9"/>
  <c r="AB322" i="9"/>
  <c r="AA322" i="9" s="1"/>
  <c r="Q322" i="9" s="1"/>
  <c r="AE322" i="9" s="1"/>
  <c r="X323" i="9"/>
  <c r="AB323" i="9"/>
  <c r="X324" i="9"/>
  <c r="AB324" i="9"/>
  <c r="AA324" i="9" s="1"/>
  <c r="Q324" i="9" s="1"/>
  <c r="AE324" i="9" s="1"/>
  <c r="X325" i="9"/>
  <c r="AB325" i="9"/>
  <c r="AA325" i="9" s="1"/>
  <c r="Q325" i="9" s="1"/>
  <c r="AE325" i="9" s="1"/>
  <c r="X326" i="9"/>
  <c r="AB326" i="9"/>
  <c r="AA326" i="9" s="1"/>
  <c r="Q326" i="9" s="1"/>
  <c r="AE326" i="9" s="1"/>
  <c r="X327" i="9"/>
  <c r="AB327" i="9"/>
  <c r="X328" i="9"/>
  <c r="AB328" i="9"/>
  <c r="AA328" i="9" s="1"/>
  <c r="Q328" i="9" s="1"/>
  <c r="AE328" i="9" s="1"/>
  <c r="X329" i="9"/>
  <c r="AB329" i="9"/>
  <c r="X330" i="9"/>
  <c r="AB330" i="9"/>
  <c r="AA330" i="9" s="1"/>
  <c r="Q330" i="9" s="1"/>
  <c r="AE330" i="9" s="1"/>
  <c r="X331" i="9"/>
  <c r="AB331" i="9"/>
  <c r="X332" i="9"/>
  <c r="AB332" i="9"/>
  <c r="AA332" i="9" s="1"/>
  <c r="Q332" i="9" s="1"/>
  <c r="AE332" i="9" s="1"/>
  <c r="X333" i="9"/>
  <c r="AB333" i="9"/>
  <c r="X334" i="9"/>
  <c r="AB334" i="9"/>
  <c r="AA334" i="9" s="1"/>
  <c r="Q334" i="9" s="1"/>
  <c r="AE334" i="9" s="1"/>
  <c r="X335" i="9"/>
  <c r="AB335" i="9"/>
  <c r="X336" i="9"/>
  <c r="AB336" i="9"/>
  <c r="AA336" i="9" s="1"/>
  <c r="Q336" i="9" s="1"/>
  <c r="AE336" i="9" s="1"/>
  <c r="X337" i="9"/>
  <c r="AB337" i="9"/>
  <c r="X338" i="9"/>
  <c r="AB338" i="9"/>
  <c r="AA338" i="9" s="1"/>
  <c r="Q338" i="9" s="1"/>
  <c r="AE338" i="9" s="1"/>
  <c r="X339" i="9"/>
  <c r="AB339" i="9"/>
  <c r="X340" i="9"/>
  <c r="AB340" i="9"/>
  <c r="AA340" i="9" s="1"/>
  <c r="Q340" i="9" s="1"/>
  <c r="AE340" i="9" s="1"/>
  <c r="X341" i="9"/>
  <c r="AB341" i="9"/>
  <c r="X342" i="9"/>
  <c r="AB342" i="9"/>
  <c r="AA342" i="9" s="1"/>
  <c r="Q342" i="9" s="1"/>
  <c r="AE342" i="9" s="1"/>
  <c r="X343" i="9"/>
  <c r="AB343" i="9"/>
  <c r="X344" i="9"/>
  <c r="AB344" i="9"/>
  <c r="AA344" i="9" s="1"/>
  <c r="Q344" i="9" s="1"/>
  <c r="AE344" i="9" s="1"/>
  <c r="X345" i="9"/>
  <c r="AB345" i="9"/>
  <c r="AA345" i="9" s="1"/>
  <c r="Q345" i="9" s="1"/>
  <c r="AE345" i="9" s="1"/>
  <c r="X346" i="9"/>
  <c r="AB346" i="9"/>
  <c r="AA346" i="9" s="1"/>
  <c r="Q346" i="9" s="1"/>
  <c r="AE346" i="9" s="1"/>
  <c r="X347" i="9"/>
  <c r="AB347" i="9"/>
  <c r="X348" i="9"/>
  <c r="AB348" i="9"/>
  <c r="X349" i="9"/>
  <c r="AB349" i="9"/>
  <c r="AA349" i="9" s="1"/>
  <c r="Q349" i="9" s="1"/>
  <c r="AE349" i="9" s="1"/>
  <c r="X350" i="9"/>
  <c r="AB350" i="9"/>
  <c r="AA350" i="9" s="1"/>
  <c r="Q350" i="9" s="1"/>
  <c r="AE350" i="9" s="1"/>
  <c r="X351" i="9"/>
  <c r="AB351" i="9"/>
  <c r="X352" i="9"/>
  <c r="AB352" i="9"/>
  <c r="AA352" i="9" s="1"/>
  <c r="Q352" i="9" s="1"/>
  <c r="AE352" i="9" s="1"/>
  <c r="X353" i="9"/>
  <c r="AB353" i="9"/>
  <c r="X354" i="9"/>
  <c r="AB354" i="9"/>
  <c r="AA354" i="9" s="1"/>
  <c r="Q354" i="9" s="1"/>
  <c r="AE354" i="9" s="1"/>
  <c r="X355" i="9"/>
  <c r="AB355" i="9"/>
  <c r="X356" i="9"/>
  <c r="AB356" i="9"/>
  <c r="AA356" i="9" s="1"/>
  <c r="Q356" i="9" s="1"/>
  <c r="AE356" i="9" s="1"/>
  <c r="X357" i="9"/>
  <c r="Y357" i="9"/>
  <c r="Z357" i="9" s="1"/>
  <c r="P357" i="9" s="1"/>
  <c r="AD357" i="9" s="1"/>
  <c r="AB357" i="9"/>
  <c r="X358" i="9"/>
  <c r="AB358" i="9"/>
  <c r="AA358" i="9" s="1"/>
  <c r="Q358" i="9" s="1"/>
  <c r="AE358" i="9" s="1"/>
  <c r="X359" i="9"/>
  <c r="AB359" i="9"/>
  <c r="X360" i="9"/>
  <c r="AB360" i="9"/>
  <c r="X361" i="9"/>
  <c r="AB361" i="9"/>
  <c r="AA361" i="9" s="1"/>
  <c r="Q361" i="9" s="1"/>
  <c r="AE361" i="9" s="1"/>
  <c r="X362" i="9"/>
  <c r="AB362" i="9"/>
  <c r="X363" i="9"/>
  <c r="AB363" i="9"/>
  <c r="X364" i="9"/>
  <c r="AB364" i="9"/>
  <c r="AA364" i="9" s="1"/>
  <c r="Q364" i="9" s="1"/>
  <c r="AE364" i="9" s="1"/>
  <c r="X365" i="9"/>
  <c r="AB365" i="9"/>
  <c r="X366" i="9"/>
  <c r="AB366" i="9"/>
  <c r="X367" i="9"/>
  <c r="AB367" i="9"/>
  <c r="X368" i="9"/>
  <c r="AB368" i="9"/>
  <c r="X369" i="9"/>
  <c r="AB369" i="9"/>
  <c r="X370" i="9"/>
  <c r="AB370" i="9"/>
  <c r="X2" i="9"/>
  <c r="AB2" i="9"/>
  <c r="AA2" i="9" s="1"/>
  <c r="Q2" i="9" s="1"/>
  <c r="AE2" i="9" s="1"/>
  <c r="AA35" i="9"/>
  <c r="Q35" i="9" s="1"/>
  <c r="AE35" i="9" s="1"/>
  <c r="AA36" i="9"/>
  <c r="AA38" i="9"/>
  <c r="Q38" i="9" s="1"/>
  <c r="AE38" i="9" s="1"/>
  <c r="AA39" i="9"/>
  <c r="AA41" i="9"/>
  <c r="Q41" i="9" s="1"/>
  <c r="AE41" i="9" s="1"/>
  <c r="AA42" i="9"/>
  <c r="Q42" i="9" s="1"/>
  <c r="AE42" i="9" s="1"/>
  <c r="AA43" i="9"/>
  <c r="Q43" i="9" s="1"/>
  <c r="AE43" i="9" s="1"/>
  <c r="AA45" i="9"/>
  <c r="Q45" i="9" s="1"/>
  <c r="AE45" i="9" s="1"/>
  <c r="AA46" i="9"/>
  <c r="Q46" i="9" s="1"/>
  <c r="AE46" i="9" s="1"/>
  <c r="AA48" i="9"/>
  <c r="AA50" i="9"/>
  <c r="Q50" i="9" s="1"/>
  <c r="AE50" i="9" s="1"/>
  <c r="AA51" i="9"/>
  <c r="Q51" i="9" s="1"/>
  <c r="AE51" i="9" s="1"/>
  <c r="AA52" i="9"/>
  <c r="Q52" i="9" s="1"/>
  <c r="AE52" i="9" s="1"/>
  <c r="AA54" i="9"/>
  <c r="AA55" i="9"/>
  <c r="Q55" i="9" s="1"/>
  <c r="AE55" i="9" s="1"/>
  <c r="AA56" i="9"/>
  <c r="AA57" i="9"/>
  <c r="Q57" i="9" s="1"/>
  <c r="AE57" i="9" s="1"/>
  <c r="AA58" i="9"/>
  <c r="AA59" i="9"/>
  <c r="Q59" i="9" s="1"/>
  <c r="AE59" i="9" s="1"/>
  <c r="AA60" i="9"/>
  <c r="Q60" i="9" s="1"/>
  <c r="AE60" i="9" s="1"/>
  <c r="AA61" i="9"/>
  <c r="Q61" i="9" s="1"/>
  <c r="AE61" i="9" s="1"/>
  <c r="AA62" i="9"/>
  <c r="AA63" i="9"/>
  <c r="Q63" i="9" s="1"/>
  <c r="AE63" i="9" s="1"/>
  <c r="AA64" i="9"/>
  <c r="Q64" i="9" s="1"/>
  <c r="AE64" i="9" s="1"/>
  <c r="AA65" i="9"/>
  <c r="Q65" i="9" s="1"/>
  <c r="AE65" i="9" s="1"/>
  <c r="AA66" i="9"/>
  <c r="AA67" i="9"/>
  <c r="Q67" i="9" s="1"/>
  <c r="AE67" i="9" s="1"/>
  <c r="AA68" i="9"/>
  <c r="Q68" i="9" s="1"/>
  <c r="AE68" i="9" s="1"/>
  <c r="AA69" i="9"/>
  <c r="Q69" i="9" s="1"/>
  <c r="AE69" i="9" s="1"/>
  <c r="AA70" i="9"/>
  <c r="AA71" i="9"/>
  <c r="Q71" i="9" s="1"/>
  <c r="AE71" i="9" s="1"/>
  <c r="AA72" i="9"/>
  <c r="AA73" i="9"/>
  <c r="Q73" i="9" s="1"/>
  <c r="AE73" i="9" s="1"/>
  <c r="AA74" i="9"/>
  <c r="AA75" i="9"/>
  <c r="Q75" i="9" s="1"/>
  <c r="AE75" i="9" s="1"/>
  <c r="AA77" i="9"/>
  <c r="Q77" i="9" s="1"/>
  <c r="AE77" i="9" s="1"/>
  <c r="AA78" i="9"/>
  <c r="AA80" i="9"/>
  <c r="AA81" i="9"/>
  <c r="AA82" i="9"/>
  <c r="Q82" i="9" s="1"/>
  <c r="AE82" i="9" s="1"/>
  <c r="AA84" i="9"/>
  <c r="Q84" i="9" s="1"/>
  <c r="AE84" i="9" s="1"/>
  <c r="AA85" i="9"/>
  <c r="AA86" i="9"/>
  <c r="Q86" i="9" s="1"/>
  <c r="AE86" i="9" s="1"/>
  <c r="AA88" i="9"/>
  <c r="Q88" i="9" s="1"/>
  <c r="AE88" i="9" s="1"/>
  <c r="AA89" i="9"/>
  <c r="Q89" i="9" s="1"/>
  <c r="AE89" i="9" s="1"/>
  <c r="AA90" i="9"/>
  <c r="AA91" i="9"/>
  <c r="Q91" i="9" s="1"/>
  <c r="AE91" i="9" s="1"/>
  <c r="AA92" i="9"/>
  <c r="Q92" i="9" s="1"/>
  <c r="AE92" i="9" s="1"/>
  <c r="AA93" i="9"/>
  <c r="AA94" i="9"/>
  <c r="AA95" i="9"/>
  <c r="Q95" i="9" s="1"/>
  <c r="AE95" i="9" s="1"/>
  <c r="AA96" i="9"/>
  <c r="Q96" i="9" s="1"/>
  <c r="AE96" i="9" s="1"/>
  <c r="AA97" i="9"/>
  <c r="Q97" i="9" s="1"/>
  <c r="AE97" i="9" s="1"/>
  <c r="AA98" i="9"/>
  <c r="AA99" i="9"/>
  <c r="Q99" i="9" s="1"/>
  <c r="AE99" i="9" s="1"/>
  <c r="AA100" i="9"/>
  <c r="AA101" i="9"/>
  <c r="Q101" i="9" s="1"/>
  <c r="AE101" i="9" s="1"/>
  <c r="AA102" i="9"/>
  <c r="AA104" i="9"/>
  <c r="Q104" i="9" s="1"/>
  <c r="AE104" i="9" s="1"/>
  <c r="AA105" i="9"/>
  <c r="AA106" i="9"/>
  <c r="Q106" i="9" s="1"/>
  <c r="AE106" i="9" s="1"/>
  <c r="AA108" i="9"/>
  <c r="AA109" i="9"/>
  <c r="Q109" i="9" s="1"/>
  <c r="AE109" i="9" s="1"/>
  <c r="AA110" i="9"/>
  <c r="Q110" i="9" s="1"/>
  <c r="AE110" i="9" s="1"/>
  <c r="AA112" i="9"/>
  <c r="AA113" i="9"/>
  <c r="Q113" i="9" s="1"/>
  <c r="AE113" i="9" s="1"/>
  <c r="AA114" i="9"/>
  <c r="Q114" i="9" s="1"/>
  <c r="AE114" i="9" s="1"/>
  <c r="AA116" i="9"/>
  <c r="AA117" i="9"/>
  <c r="Q117" i="9" s="1"/>
  <c r="AE117" i="9" s="1"/>
  <c r="AA118" i="9"/>
  <c r="Q118" i="9" s="1"/>
  <c r="AE118" i="9" s="1"/>
  <c r="AA120" i="9"/>
  <c r="AA121" i="9"/>
  <c r="AA122" i="9"/>
  <c r="Q122" i="9" s="1"/>
  <c r="AE122" i="9" s="1"/>
  <c r="AA123" i="9"/>
  <c r="Q123" i="9" s="1"/>
  <c r="AE123" i="9" s="1"/>
  <c r="AA124" i="9"/>
  <c r="Q124" i="9" s="1"/>
  <c r="AE124" i="9" s="1"/>
  <c r="AA125" i="9"/>
  <c r="Q125" i="9" s="1"/>
  <c r="AE125" i="9" s="1"/>
  <c r="AA126" i="9"/>
  <c r="AA127" i="9"/>
  <c r="Q127" i="9" s="1"/>
  <c r="AE127" i="9" s="1"/>
  <c r="AA128" i="9"/>
  <c r="Q128" i="9" s="1"/>
  <c r="AE128" i="9" s="1"/>
  <c r="AA129" i="9"/>
  <c r="Q129" i="9" s="1"/>
  <c r="AE129" i="9" s="1"/>
  <c r="AA130" i="9"/>
  <c r="Q130" i="9" s="1"/>
  <c r="AE130" i="9" s="1"/>
  <c r="AA131" i="9"/>
  <c r="Q131" i="9" s="1"/>
  <c r="AE131" i="9" s="1"/>
  <c r="AA132" i="9"/>
  <c r="Q132" i="9" s="1"/>
  <c r="AE132" i="9" s="1"/>
  <c r="AA133" i="9"/>
  <c r="Q133" i="9" s="1"/>
  <c r="AE133" i="9" s="1"/>
  <c r="AA134" i="9"/>
  <c r="AA136" i="9"/>
  <c r="AA137" i="9"/>
  <c r="AA138" i="9"/>
  <c r="Q138" i="9" s="1"/>
  <c r="AE138" i="9" s="1"/>
  <c r="AA139" i="9"/>
  <c r="Q139" i="9" s="1"/>
  <c r="AE139" i="9" s="1"/>
  <c r="AA140" i="9"/>
  <c r="AA141" i="9"/>
  <c r="AA142" i="9"/>
  <c r="AA143" i="9"/>
  <c r="Q143" i="9" s="1"/>
  <c r="AE143" i="9" s="1"/>
  <c r="AA145" i="9"/>
  <c r="Q145" i="9" s="1"/>
  <c r="AE145" i="9" s="1"/>
  <c r="AA146" i="9"/>
  <c r="Q146" i="9" s="1"/>
  <c r="AE146" i="9" s="1"/>
  <c r="AA147" i="9"/>
  <c r="Q147" i="9" s="1"/>
  <c r="AE147" i="9" s="1"/>
  <c r="AA149" i="9"/>
  <c r="AA150" i="9"/>
  <c r="Q150" i="9" s="1"/>
  <c r="AE150" i="9" s="1"/>
  <c r="AA151" i="9"/>
  <c r="Q151" i="9" s="1"/>
  <c r="AE151" i="9" s="1"/>
  <c r="AA152" i="9"/>
  <c r="Q152" i="9" s="1"/>
  <c r="AE152" i="9" s="1"/>
  <c r="AA153" i="9"/>
  <c r="AA154" i="9"/>
  <c r="Q154" i="9" s="1"/>
  <c r="AE154" i="9" s="1"/>
  <c r="AA156" i="9"/>
  <c r="AA157" i="9"/>
  <c r="AA159" i="9"/>
  <c r="Q159" i="9" s="1"/>
  <c r="AE159" i="9" s="1"/>
  <c r="AA160" i="9"/>
  <c r="AA161" i="9"/>
  <c r="Q161" i="9" s="1"/>
  <c r="AE161" i="9" s="1"/>
  <c r="AA164" i="9"/>
  <c r="Q164" i="9" s="1"/>
  <c r="AE164" i="9" s="1"/>
  <c r="AA165" i="9"/>
  <c r="AA166" i="9"/>
  <c r="Q166" i="9" s="1"/>
  <c r="AE166" i="9" s="1"/>
  <c r="AA167" i="9"/>
  <c r="Q167" i="9" s="1"/>
  <c r="AE167" i="9" s="1"/>
  <c r="AA168" i="9"/>
  <c r="Q168" i="9" s="1"/>
  <c r="AE168" i="9" s="1"/>
  <c r="AA169" i="9"/>
  <c r="AA171" i="9"/>
  <c r="Q171" i="9" s="1"/>
  <c r="AE171" i="9" s="1"/>
  <c r="AA175" i="9"/>
  <c r="Q175" i="9" s="1"/>
  <c r="AE175" i="9" s="1"/>
  <c r="AA177" i="9"/>
  <c r="AA178" i="9"/>
  <c r="AA179" i="9"/>
  <c r="Q179" i="9" s="1"/>
  <c r="AE179" i="9" s="1"/>
  <c r="AA181" i="9"/>
  <c r="Q181" i="9" s="1"/>
  <c r="AE181" i="9" s="1"/>
  <c r="AA182" i="9"/>
  <c r="AA183" i="9"/>
  <c r="Q183" i="9" s="1"/>
  <c r="AE183" i="9" s="1"/>
  <c r="AA187" i="9"/>
  <c r="Q187" i="9" s="1"/>
  <c r="AE187" i="9" s="1"/>
  <c r="AA189" i="9"/>
  <c r="AA191" i="9"/>
  <c r="Q191" i="9" s="1"/>
  <c r="AE191" i="9" s="1"/>
  <c r="AA193" i="9"/>
  <c r="Q193" i="9" s="1"/>
  <c r="AE193" i="9" s="1"/>
  <c r="AA195" i="9"/>
  <c r="Q195" i="9" s="1"/>
  <c r="AE195" i="9" s="1"/>
  <c r="AA197" i="9"/>
  <c r="AA199" i="9"/>
  <c r="Q199" i="9" s="1"/>
  <c r="AE199" i="9" s="1"/>
  <c r="AA201" i="9"/>
  <c r="Q201" i="9" s="1"/>
  <c r="AE201" i="9" s="1"/>
  <c r="AA203" i="9"/>
  <c r="Q203" i="9" s="1"/>
  <c r="AE203" i="9" s="1"/>
  <c r="AA207" i="9"/>
  <c r="Q207" i="9" s="1"/>
  <c r="AE207" i="9" s="1"/>
  <c r="AA208" i="9"/>
  <c r="Q208" i="9" s="1"/>
  <c r="AE208" i="9" s="1"/>
  <c r="AA209" i="9"/>
  <c r="AA211" i="9"/>
  <c r="Q211" i="9" s="1"/>
  <c r="AE211" i="9" s="1"/>
  <c r="AA213" i="9"/>
  <c r="Q213" i="9" s="1"/>
  <c r="AE213" i="9" s="1"/>
  <c r="AA215" i="9"/>
  <c r="Q215" i="9" s="1"/>
  <c r="AE215" i="9" s="1"/>
  <c r="AA216" i="9"/>
  <c r="Q216" i="9" s="1"/>
  <c r="AE216" i="9" s="1"/>
  <c r="AA219" i="9"/>
  <c r="Q219" i="9" s="1"/>
  <c r="AE219" i="9" s="1"/>
  <c r="AA221" i="9"/>
  <c r="AA223" i="9"/>
  <c r="Q223" i="9" s="1"/>
  <c r="AE223" i="9" s="1"/>
  <c r="AA225" i="9"/>
  <c r="Q225" i="9" s="1"/>
  <c r="AE225" i="9" s="1"/>
  <c r="AA227" i="9"/>
  <c r="Q227" i="9" s="1"/>
  <c r="AE227" i="9" s="1"/>
  <c r="AA229" i="9"/>
  <c r="Q229" i="9" s="1"/>
  <c r="AE229" i="9" s="1"/>
  <c r="AA231" i="9"/>
  <c r="Q231" i="9" s="1"/>
  <c r="AE231" i="9" s="1"/>
  <c r="AA233" i="9"/>
  <c r="AA235" i="9"/>
  <c r="Q235" i="9" s="1"/>
  <c r="AE235" i="9" s="1"/>
  <c r="AA239" i="9"/>
  <c r="Q239" i="9" s="1"/>
  <c r="AE239" i="9" s="1"/>
  <c r="AA241" i="9"/>
  <c r="Q241" i="9" s="1"/>
  <c r="AE241" i="9" s="1"/>
  <c r="AA243" i="9"/>
  <c r="Q243" i="9" s="1"/>
  <c r="AE243" i="9" s="1"/>
  <c r="AA245" i="9"/>
  <c r="Q245" i="9" s="1"/>
  <c r="AE245" i="9" s="1"/>
  <c r="AA247" i="9"/>
  <c r="Q247" i="9" s="1"/>
  <c r="AE247" i="9" s="1"/>
  <c r="AA250" i="9"/>
  <c r="Q250" i="9" s="1"/>
  <c r="AE250" i="9" s="1"/>
  <c r="AA251" i="9"/>
  <c r="Q251" i="9" s="1"/>
  <c r="AE251" i="9" s="1"/>
  <c r="AA253" i="9"/>
  <c r="AA255" i="9"/>
  <c r="Q255" i="9" s="1"/>
  <c r="AE255" i="9" s="1"/>
  <c r="AA256" i="9"/>
  <c r="Q256" i="9" s="1"/>
  <c r="AE256" i="9" s="1"/>
  <c r="AA257" i="9"/>
  <c r="AA259" i="9"/>
  <c r="Q259" i="9" s="1"/>
  <c r="AE259" i="9" s="1"/>
  <c r="AA261" i="9"/>
  <c r="Q261" i="9" s="1"/>
  <c r="AE261" i="9" s="1"/>
  <c r="AA263" i="9"/>
  <c r="Q263" i="9" s="1"/>
  <c r="AE263" i="9" s="1"/>
  <c r="AA264" i="9"/>
  <c r="Q264" i="9" s="1"/>
  <c r="AE264" i="9" s="1"/>
  <c r="AA265" i="9"/>
  <c r="AA267" i="9"/>
  <c r="Q267" i="9" s="1"/>
  <c r="AE267" i="9" s="1"/>
  <c r="AA271" i="9"/>
  <c r="Q271" i="9" s="1"/>
  <c r="AE271" i="9" s="1"/>
  <c r="AA273" i="9"/>
  <c r="AA275" i="9"/>
  <c r="Q275" i="9" s="1"/>
  <c r="AE275" i="9" s="1"/>
  <c r="AA277" i="9"/>
  <c r="Q277" i="9" s="1"/>
  <c r="AE277" i="9" s="1"/>
  <c r="AA279" i="9"/>
  <c r="Q279" i="9" s="1"/>
  <c r="AE279" i="9" s="1"/>
  <c r="AA281" i="9"/>
  <c r="Q281" i="9" s="1"/>
  <c r="AE281" i="9" s="1"/>
  <c r="AA283" i="9"/>
  <c r="Q283" i="9" s="1"/>
  <c r="AE283" i="9" s="1"/>
  <c r="AA285" i="9"/>
  <c r="AA286" i="9"/>
  <c r="Q286" i="9" s="1"/>
  <c r="AE286" i="9" s="1"/>
  <c r="AA287" i="9"/>
  <c r="Q287" i="9" s="1"/>
  <c r="AE287" i="9" s="1"/>
  <c r="AA289" i="9"/>
  <c r="Q289" i="9" s="1"/>
  <c r="AE289" i="9" s="1"/>
  <c r="AA291" i="9"/>
  <c r="Q291" i="9" s="1"/>
  <c r="AE291" i="9" s="1"/>
  <c r="AA293" i="9"/>
  <c r="AA295" i="9"/>
  <c r="Q295" i="9" s="1"/>
  <c r="AE295" i="9" s="1"/>
  <c r="AA297" i="9"/>
  <c r="Q297" i="9" s="1"/>
  <c r="AE297" i="9" s="1"/>
  <c r="AA299" i="9"/>
  <c r="Q299" i="9" s="1"/>
  <c r="AE299" i="9" s="1"/>
  <c r="AA302" i="9"/>
  <c r="AA305" i="9"/>
  <c r="AA306" i="9"/>
  <c r="Q306" i="9" s="1"/>
  <c r="AE306" i="9" s="1"/>
  <c r="AA311" i="9"/>
  <c r="Q311" i="9" s="1"/>
  <c r="AE311" i="9" s="1"/>
  <c r="AA315" i="9"/>
  <c r="Q315" i="9" s="1"/>
  <c r="AE315" i="9" s="1"/>
  <c r="AA316" i="9"/>
  <c r="Q316" i="9" s="1"/>
  <c r="AE316" i="9" s="1"/>
  <c r="AA319" i="9"/>
  <c r="Q319" i="9" s="1"/>
  <c r="AE319" i="9" s="1"/>
  <c r="AA323" i="9"/>
  <c r="Q323" i="9" s="1"/>
  <c r="AE323" i="9" s="1"/>
  <c r="AA327" i="9"/>
  <c r="Q327" i="9" s="1"/>
  <c r="AE327" i="9" s="1"/>
  <c r="AA329" i="9"/>
  <c r="AA331" i="9"/>
  <c r="Q331" i="9" s="1"/>
  <c r="AE331" i="9" s="1"/>
  <c r="AA333" i="9"/>
  <c r="AA335" i="9"/>
  <c r="Q335" i="9" s="1"/>
  <c r="AE335" i="9" s="1"/>
  <c r="AA337" i="9"/>
  <c r="Q337" i="9" s="1"/>
  <c r="AE337" i="9" s="1"/>
  <c r="AA339" i="9"/>
  <c r="Q339" i="9" s="1"/>
  <c r="AE339" i="9" s="1"/>
  <c r="AA341" i="9"/>
  <c r="AA343" i="9"/>
  <c r="Q343" i="9" s="1"/>
  <c r="AE343" i="9" s="1"/>
  <c r="AA347" i="9"/>
  <c r="Q347" i="9" s="1"/>
  <c r="AE347" i="9" s="1"/>
  <c r="AA348" i="9"/>
  <c r="Q348" i="9" s="1"/>
  <c r="AE348" i="9" s="1"/>
  <c r="AA351" i="9"/>
  <c r="Q351" i="9" s="1"/>
  <c r="AE351" i="9" s="1"/>
  <c r="AA353" i="9"/>
  <c r="AA355" i="9"/>
  <c r="Q355" i="9" s="1"/>
  <c r="AE355" i="9" s="1"/>
  <c r="AA357" i="9"/>
  <c r="Q357" i="9" s="1"/>
  <c r="AE357" i="9" s="1"/>
  <c r="AA359" i="9"/>
  <c r="Q359" i="9" s="1"/>
  <c r="AE359" i="9" s="1"/>
  <c r="AA360" i="9"/>
  <c r="Q360" i="9" s="1"/>
  <c r="AE360" i="9" s="1"/>
  <c r="AA362" i="9"/>
  <c r="AA363" i="9"/>
  <c r="Q363" i="9" s="1"/>
  <c r="AE363" i="9" s="1"/>
  <c r="AA365" i="9"/>
  <c r="AA366" i="9"/>
  <c r="AA367" i="9"/>
  <c r="Q367" i="9" s="1"/>
  <c r="AE367" i="9" s="1"/>
  <c r="AA368" i="9"/>
  <c r="Q368" i="9" s="1"/>
  <c r="AE368" i="9" s="1"/>
  <c r="AA369" i="9"/>
  <c r="AA370" i="9"/>
  <c r="Q370" i="9" s="1"/>
  <c r="AE370" i="9" s="1"/>
  <c r="Q36" i="9"/>
  <c r="AE36" i="9" s="1"/>
  <c r="Q39" i="9"/>
  <c r="AE39" i="9" s="1"/>
  <c r="Q48" i="9"/>
  <c r="AE48" i="9" s="1"/>
  <c r="Q54" i="9"/>
  <c r="AE54" i="9" s="1"/>
  <c r="Q56" i="9"/>
  <c r="AE56" i="9" s="1"/>
  <c r="Q58" i="9"/>
  <c r="AE58" i="9" s="1"/>
  <c r="Q62" i="9"/>
  <c r="AE62" i="9" s="1"/>
  <c r="Q66" i="9"/>
  <c r="AE66" i="9" s="1"/>
  <c r="Q70" i="9"/>
  <c r="AE70" i="9" s="1"/>
  <c r="Q72" i="9"/>
  <c r="AE72" i="9" s="1"/>
  <c r="Q74" i="9"/>
  <c r="AE74" i="9" s="1"/>
  <c r="Q78" i="9"/>
  <c r="AE78" i="9" s="1"/>
  <c r="Q80" i="9"/>
  <c r="AE80" i="9" s="1"/>
  <c r="Q81" i="9"/>
  <c r="AE81" i="9" s="1"/>
  <c r="Q85" i="9"/>
  <c r="AE85" i="9" s="1"/>
  <c r="Q90" i="9"/>
  <c r="AE90" i="9" s="1"/>
  <c r="Q93" i="9"/>
  <c r="AE93" i="9" s="1"/>
  <c r="Q94" i="9"/>
  <c r="AE94" i="9" s="1"/>
  <c r="Q98" i="9"/>
  <c r="AE98" i="9" s="1"/>
  <c r="Q100" i="9"/>
  <c r="AE100" i="9" s="1"/>
  <c r="Q102" i="9"/>
  <c r="AE102" i="9" s="1"/>
  <c r="Q105" i="9"/>
  <c r="AE105" i="9" s="1"/>
  <c r="Q108" i="9"/>
  <c r="AE108" i="9" s="1"/>
  <c r="Q112" i="9"/>
  <c r="AE112" i="9" s="1"/>
  <c r="Q116" i="9"/>
  <c r="AE116" i="9" s="1"/>
  <c r="Q120" i="9"/>
  <c r="AE120" i="9" s="1"/>
  <c r="Q121" i="9"/>
  <c r="AE121" i="9" s="1"/>
  <c r="Q126" i="9"/>
  <c r="AE126" i="9" s="1"/>
  <c r="Q134" i="9"/>
  <c r="AE134" i="9" s="1"/>
  <c r="Q136" i="9"/>
  <c r="AE136" i="9" s="1"/>
  <c r="Q137" i="9"/>
  <c r="AE137" i="9" s="1"/>
  <c r="Q140" i="9"/>
  <c r="AE140" i="9" s="1"/>
  <c r="Q141" i="9"/>
  <c r="AE141" i="9" s="1"/>
  <c r="Q142" i="9"/>
  <c r="AE142" i="9" s="1"/>
  <c r="Q149" i="9"/>
  <c r="AE149" i="9" s="1"/>
  <c r="Q153" i="9"/>
  <c r="AE153" i="9" s="1"/>
  <c r="Q156" i="9"/>
  <c r="AE156" i="9" s="1"/>
  <c r="Q157" i="9"/>
  <c r="AE157" i="9" s="1"/>
  <c r="Q160" i="9"/>
  <c r="AE160" i="9" s="1"/>
  <c r="Q165" i="9"/>
  <c r="AE165" i="9" s="1"/>
  <c r="Q169" i="9"/>
  <c r="AE169" i="9" s="1"/>
  <c r="Q172" i="9"/>
  <c r="AE172" i="9" s="1"/>
  <c r="Q177" i="9"/>
  <c r="AE177" i="9" s="1"/>
  <c r="Q178" i="9"/>
  <c r="AE178" i="9" s="1"/>
  <c r="Q182" i="9"/>
  <c r="AE182" i="9" s="1"/>
  <c r="Q186" i="9"/>
  <c r="AE186" i="9" s="1"/>
  <c r="Q189" i="9"/>
  <c r="AE189" i="9" s="1"/>
  <c r="Q192" i="9"/>
  <c r="AE192" i="9" s="1"/>
  <c r="Q196" i="9"/>
  <c r="AE196" i="9" s="1"/>
  <c r="Q197" i="9"/>
  <c r="AE197" i="9" s="1"/>
  <c r="Q200" i="9"/>
  <c r="AE200" i="9" s="1"/>
  <c r="Q204" i="9"/>
  <c r="AE204" i="9" s="1"/>
  <c r="Q209" i="9"/>
  <c r="AE209" i="9" s="1"/>
  <c r="Q218" i="9"/>
  <c r="AE218" i="9" s="1"/>
  <c r="Q221" i="9"/>
  <c r="AE221" i="9" s="1"/>
  <c r="Q228" i="9"/>
  <c r="AE228" i="9" s="1"/>
  <c r="Q232" i="9"/>
  <c r="AE232" i="9" s="1"/>
  <c r="Q233" i="9"/>
  <c r="AE233" i="9" s="1"/>
  <c r="Q236" i="9"/>
  <c r="AE236" i="9" s="1"/>
  <c r="Q253" i="9"/>
  <c r="AE253" i="9" s="1"/>
  <c r="Q257" i="9"/>
  <c r="AE257" i="9" s="1"/>
  <c r="Q265" i="9"/>
  <c r="AE265" i="9" s="1"/>
  <c r="Q273" i="9"/>
  <c r="AE273" i="9" s="1"/>
  <c r="Q285" i="9"/>
  <c r="AE285" i="9" s="1"/>
  <c r="Q293" i="9"/>
  <c r="AE293" i="9" s="1"/>
  <c r="Q302" i="9"/>
  <c r="AE302" i="9" s="1"/>
  <c r="Q305" i="9"/>
  <c r="AE305" i="9" s="1"/>
  <c r="Q329" i="9"/>
  <c r="AE329" i="9" s="1"/>
  <c r="Q333" i="9"/>
  <c r="AE333" i="9" s="1"/>
  <c r="Q341" i="9"/>
  <c r="AE341" i="9" s="1"/>
  <c r="Q353" i="9"/>
  <c r="AE353" i="9" s="1"/>
  <c r="Q362" i="9"/>
  <c r="AE362" i="9" s="1"/>
  <c r="Q365" i="9"/>
  <c r="AE365" i="9" s="1"/>
  <c r="Q366" i="9"/>
  <c r="AE366" i="9" s="1"/>
  <c r="Q369" i="9"/>
  <c r="AE369" i="9" s="1"/>
  <c r="L2" i="7"/>
  <c r="Z10" i="7" s="1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R2" i="9"/>
  <c r="U19" i="4"/>
  <c r="U19" i="5"/>
  <c r="U19" i="6"/>
  <c r="U19" i="1"/>
  <c r="AF7" i="4"/>
  <c r="AF8" i="4"/>
  <c r="AF9" i="4"/>
  <c r="AF10" i="4"/>
  <c r="AF11" i="4"/>
  <c r="AF12" i="4"/>
  <c r="AF13" i="4"/>
  <c r="AF14" i="4"/>
  <c r="AF15" i="4"/>
  <c r="AF17" i="4"/>
  <c r="AF18" i="4"/>
  <c r="AF19" i="4"/>
  <c r="AF20" i="4"/>
  <c r="AF21" i="4"/>
  <c r="AF22" i="4"/>
  <c r="AF23" i="4"/>
  <c r="AF24" i="4"/>
  <c r="AF25" i="4"/>
  <c r="AF26" i="4"/>
  <c r="AF1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61" i="4"/>
  <c r="AF62" i="4"/>
  <c r="AF63" i="4"/>
  <c r="AF64" i="4"/>
  <c r="AF65" i="4"/>
  <c r="AF66" i="4"/>
  <c r="AF67" i="4"/>
  <c r="AF68" i="4"/>
  <c r="AF69" i="4"/>
  <c r="AF70" i="4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61" i="5"/>
  <c r="AF62" i="5"/>
  <c r="AF63" i="5"/>
  <c r="AF64" i="5"/>
  <c r="AF65" i="5"/>
  <c r="AF66" i="5"/>
  <c r="AF67" i="5"/>
  <c r="AF68" i="5"/>
  <c r="AF69" i="5"/>
  <c r="AF70" i="5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61" i="6"/>
  <c r="AF62" i="6"/>
  <c r="AF63" i="6"/>
  <c r="AF64" i="6"/>
  <c r="AF65" i="6"/>
  <c r="AF66" i="6"/>
  <c r="AF67" i="6"/>
  <c r="AF68" i="6"/>
  <c r="AF69" i="6"/>
  <c r="AF70" i="6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61" i="1"/>
  <c r="AF62" i="1"/>
  <c r="AF63" i="1"/>
  <c r="AF64" i="1"/>
  <c r="AF65" i="1"/>
  <c r="AF66" i="1"/>
  <c r="AF67" i="1"/>
  <c r="AF68" i="1"/>
  <c r="AF69" i="1"/>
  <c r="AF70" i="1"/>
  <c r="AE7" i="4"/>
  <c r="AE8" i="4"/>
  <c r="AE9" i="4"/>
  <c r="AE10" i="4"/>
  <c r="AE11" i="4"/>
  <c r="AE12" i="4"/>
  <c r="AE13" i="4"/>
  <c r="AE14" i="4"/>
  <c r="AE15" i="4"/>
  <c r="AE17" i="4"/>
  <c r="AE18" i="4"/>
  <c r="AE19" i="4"/>
  <c r="AE20" i="4"/>
  <c r="AE21" i="4"/>
  <c r="AE22" i="4"/>
  <c r="AE23" i="4"/>
  <c r="AE24" i="4"/>
  <c r="AE25" i="4"/>
  <c r="AE26" i="4"/>
  <c r="AE1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61" i="4"/>
  <c r="AE62" i="4"/>
  <c r="AE63" i="4"/>
  <c r="AE64" i="4"/>
  <c r="AE65" i="4"/>
  <c r="AE66" i="4"/>
  <c r="AE67" i="4"/>
  <c r="AE68" i="4"/>
  <c r="AE69" i="4"/>
  <c r="AE70" i="4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61" i="5"/>
  <c r="AE62" i="5"/>
  <c r="AE63" i="5"/>
  <c r="AE64" i="5"/>
  <c r="AE65" i="5"/>
  <c r="AE66" i="5"/>
  <c r="AE67" i="5"/>
  <c r="AE68" i="5"/>
  <c r="AE69" i="5"/>
  <c r="AE70" i="5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61" i="6"/>
  <c r="AE62" i="6"/>
  <c r="AE63" i="6"/>
  <c r="AE64" i="6"/>
  <c r="AE65" i="6"/>
  <c r="AE66" i="6"/>
  <c r="AE67" i="6"/>
  <c r="AE68" i="6"/>
  <c r="AE69" i="6"/>
  <c r="AE70" i="6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61" i="1"/>
  <c r="AE62" i="1"/>
  <c r="AE63" i="1"/>
  <c r="AE64" i="1"/>
  <c r="AE65" i="1"/>
  <c r="AE66" i="1"/>
  <c r="AE67" i="1"/>
  <c r="AE68" i="1"/>
  <c r="AE69" i="1"/>
  <c r="AE70" i="1"/>
  <c r="AD7" i="4"/>
  <c r="AD8" i="4"/>
  <c r="AD9" i="4"/>
  <c r="AD10" i="4"/>
  <c r="AD11" i="4"/>
  <c r="AD12" i="4"/>
  <c r="AD13" i="4"/>
  <c r="AD14" i="4"/>
  <c r="AD15" i="4"/>
  <c r="AD17" i="4"/>
  <c r="AD18" i="4"/>
  <c r="AD19" i="4"/>
  <c r="AD20" i="4"/>
  <c r="AD21" i="4"/>
  <c r="AD22" i="4"/>
  <c r="AD23" i="4"/>
  <c r="AD24" i="4"/>
  <c r="AD25" i="4"/>
  <c r="AD26" i="4"/>
  <c r="AD1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61" i="4"/>
  <c r="AD62" i="4"/>
  <c r="AD63" i="4"/>
  <c r="AD64" i="4"/>
  <c r="AD65" i="4"/>
  <c r="AD66" i="4"/>
  <c r="AD67" i="4"/>
  <c r="AD68" i="4"/>
  <c r="AD69" i="4"/>
  <c r="AD70" i="4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61" i="5"/>
  <c r="AD62" i="5"/>
  <c r="AD63" i="5"/>
  <c r="AD64" i="5"/>
  <c r="AD65" i="5"/>
  <c r="AD66" i="5"/>
  <c r="AD67" i="5"/>
  <c r="AD68" i="5"/>
  <c r="AD69" i="5"/>
  <c r="AD70" i="5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61" i="6"/>
  <c r="AD62" i="6"/>
  <c r="AD63" i="6"/>
  <c r="AD64" i="6"/>
  <c r="AD65" i="6"/>
  <c r="AD66" i="6"/>
  <c r="AD67" i="6"/>
  <c r="AD68" i="6"/>
  <c r="AD69" i="6"/>
  <c r="AD70" i="6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61" i="1"/>
  <c r="AD62" i="1"/>
  <c r="AD63" i="1"/>
  <c r="AD64" i="1"/>
  <c r="AD65" i="1"/>
  <c r="AD66" i="1"/>
  <c r="AD67" i="1"/>
  <c r="AD68" i="1"/>
  <c r="AD69" i="1"/>
  <c r="AD70" i="1"/>
  <c r="AC7" i="4"/>
  <c r="AC8" i="4"/>
  <c r="AC9" i="4"/>
  <c r="AC10" i="4"/>
  <c r="AC11" i="4"/>
  <c r="AC12" i="4"/>
  <c r="AC13" i="4"/>
  <c r="AC14" i="4"/>
  <c r="AC15" i="4"/>
  <c r="AC17" i="4"/>
  <c r="AC18" i="4"/>
  <c r="AC19" i="4"/>
  <c r="AC20" i="4"/>
  <c r="AC21" i="4"/>
  <c r="AC22" i="4"/>
  <c r="AC23" i="4"/>
  <c r="AC24" i="4"/>
  <c r="AC25" i="4"/>
  <c r="AC26" i="4"/>
  <c r="AC1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61" i="4"/>
  <c r="AC62" i="4"/>
  <c r="AC63" i="4"/>
  <c r="AC64" i="4"/>
  <c r="AC65" i="4"/>
  <c r="AC66" i="4"/>
  <c r="AC67" i="4"/>
  <c r="AC68" i="4"/>
  <c r="AC69" i="4"/>
  <c r="AC70" i="4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61" i="5"/>
  <c r="AC62" i="5"/>
  <c r="AC63" i="5"/>
  <c r="AC64" i="5"/>
  <c r="AC65" i="5"/>
  <c r="AC66" i="5"/>
  <c r="AC67" i="5"/>
  <c r="AC68" i="5"/>
  <c r="AC69" i="5"/>
  <c r="AC70" i="5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61" i="6"/>
  <c r="AC62" i="6"/>
  <c r="AC63" i="6"/>
  <c r="AC64" i="6"/>
  <c r="AC65" i="6"/>
  <c r="AC66" i="6"/>
  <c r="AC67" i="6"/>
  <c r="AC68" i="6"/>
  <c r="AC69" i="6"/>
  <c r="AC70" i="6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61" i="1"/>
  <c r="AC62" i="1"/>
  <c r="AC63" i="1"/>
  <c r="AC64" i="1"/>
  <c r="AC65" i="1"/>
  <c r="AC66" i="1"/>
  <c r="AC67" i="1"/>
  <c r="AC68" i="1"/>
  <c r="AC69" i="1"/>
  <c r="AC70" i="1"/>
  <c r="R17" i="4"/>
  <c r="R17" i="5"/>
  <c r="R17" i="6"/>
  <c r="R17" i="1"/>
  <c r="R16" i="4"/>
  <c r="R16" i="5"/>
  <c r="R16" i="6"/>
  <c r="R16" i="1"/>
  <c r="H71" i="4"/>
  <c r="G71" i="4"/>
  <c r="H71" i="5"/>
  <c r="G71" i="5"/>
  <c r="H71" i="6"/>
  <c r="G71" i="6"/>
  <c r="F56" i="7"/>
  <c r="G56" i="7" s="1"/>
  <c r="F55" i="7"/>
  <c r="F54" i="7"/>
  <c r="F53" i="7"/>
  <c r="F52" i="7"/>
  <c r="G52" i="7" s="1"/>
  <c r="F51" i="7"/>
  <c r="F50" i="7"/>
  <c r="F49" i="7"/>
  <c r="F48" i="7"/>
  <c r="G48" i="7" s="1"/>
  <c r="F47" i="7"/>
  <c r="F46" i="7"/>
  <c r="F45" i="7"/>
  <c r="F44" i="7"/>
  <c r="G44" i="7" s="1"/>
  <c r="F43" i="7"/>
  <c r="F42" i="7"/>
  <c r="F41" i="7"/>
  <c r="F40" i="7"/>
  <c r="G40" i="7" s="1"/>
  <c r="F39" i="7"/>
  <c r="F38" i="7"/>
  <c r="F37" i="7"/>
  <c r="F36" i="7"/>
  <c r="G36" i="7" s="1"/>
  <c r="F35" i="7"/>
  <c r="F34" i="7"/>
  <c r="F33" i="7"/>
  <c r="F32" i="7"/>
  <c r="G32" i="7" s="1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G4" i="7" s="1"/>
  <c r="S12" i="7"/>
  <c r="S11" i="7"/>
  <c r="S10" i="7"/>
  <c r="S9" i="7"/>
  <c r="S8" i="7"/>
  <c r="S7" i="7"/>
  <c r="S6" i="7"/>
  <c r="S5" i="7"/>
  <c r="S4" i="7"/>
  <c r="T4" i="7" s="1"/>
  <c r="U4" i="7" s="1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61" i="4"/>
  <c r="AA62" i="4"/>
  <c r="AA63" i="4"/>
  <c r="AA64" i="4"/>
  <c r="AA65" i="4"/>
  <c r="AA66" i="4"/>
  <c r="AA67" i="4"/>
  <c r="AA68" i="4"/>
  <c r="AA69" i="4"/>
  <c r="AA70" i="4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61" i="5"/>
  <c r="AA62" i="5"/>
  <c r="AA63" i="5"/>
  <c r="AA64" i="5"/>
  <c r="AA65" i="5"/>
  <c r="AA66" i="5"/>
  <c r="AA67" i="5"/>
  <c r="AA68" i="5"/>
  <c r="AA69" i="5"/>
  <c r="AA70" i="5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61" i="6"/>
  <c r="AA62" i="6"/>
  <c r="AA63" i="6"/>
  <c r="AA64" i="6"/>
  <c r="AA65" i="6"/>
  <c r="AA66" i="6"/>
  <c r="AA67" i="6"/>
  <c r="AA68" i="6"/>
  <c r="AA69" i="6"/>
  <c r="AA70" i="6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61" i="1"/>
  <c r="AA62" i="1"/>
  <c r="AA63" i="1"/>
  <c r="AA64" i="1"/>
  <c r="AA65" i="1"/>
  <c r="AA66" i="1"/>
  <c r="AA67" i="1"/>
  <c r="AA68" i="1"/>
  <c r="AA69" i="1"/>
  <c r="AA70" i="1"/>
  <c r="AA7" i="4"/>
  <c r="AA7" i="5"/>
  <c r="AA7" i="6"/>
  <c r="AA7" i="1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61" i="5"/>
  <c r="AB62" i="5"/>
  <c r="AB63" i="5"/>
  <c r="AB64" i="5"/>
  <c r="AB65" i="5"/>
  <c r="AB66" i="5"/>
  <c r="AB67" i="5"/>
  <c r="AB68" i="5"/>
  <c r="AB69" i="5"/>
  <c r="AB70" i="5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61" i="6"/>
  <c r="AB62" i="6"/>
  <c r="AB63" i="6"/>
  <c r="AB64" i="6"/>
  <c r="AB65" i="6"/>
  <c r="AB66" i="6"/>
  <c r="AB67" i="6"/>
  <c r="AB68" i="6"/>
  <c r="AB69" i="6"/>
  <c r="AB70" i="6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61" i="4"/>
  <c r="AB62" i="4"/>
  <c r="AB63" i="4"/>
  <c r="AB64" i="4"/>
  <c r="AB65" i="4"/>
  <c r="AB66" i="4"/>
  <c r="AB67" i="4"/>
  <c r="AB68" i="4"/>
  <c r="AB69" i="4"/>
  <c r="AB70" i="4"/>
  <c r="AB7" i="5"/>
  <c r="AB7" i="6"/>
  <c r="AB7" i="4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61" i="1"/>
  <c r="AB62" i="1"/>
  <c r="AB63" i="1"/>
  <c r="AB64" i="1"/>
  <c r="AB65" i="1"/>
  <c r="AB66" i="1"/>
  <c r="AB67" i="1"/>
  <c r="AB68" i="1"/>
  <c r="AB69" i="1"/>
  <c r="AB70" i="1"/>
  <c r="AB7" i="1"/>
  <c r="Y45" i="7"/>
  <c r="Y44" i="7"/>
  <c r="AK7" i="7"/>
  <c r="AK6" i="7"/>
  <c r="AK5" i="7"/>
  <c r="AK4" i="7"/>
  <c r="AI4" i="7"/>
  <c r="AJ7" i="7"/>
  <c r="AJ6" i="7"/>
  <c r="AJ5" i="7"/>
  <c r="AI7" i="7"/>
  <c r="AI2" i="7" s="1"/>
  <c r="AI6" i="7"/>
  <c r="AI5" i="7"/>
  <c r="AJ4" i="7"/>
  <c r="S56" i="7"/>
  <c r="T56" i="7" s="1"/>
  <c r="U56" i="7" s="1"/>
  <c r="S55" i="7"/>
  <c r="S54" i="7"/>
  <c r="T54" i="7" s="1"/>
  <c r="U54" i="7" s="1"/>
  <c r="S53" i="7"/>
  <c r="T53" i="7"/>
  <c r="U53" i="7" s="1"/>
  <c r="S52" i="7"/>
  <c r="T52" i="7" s="1"/>
  <c r="U52" i="7" s="1"/>
  <c r="S51" i="7"/>
  <c r="S50" i="7"/>
  <c r="T50" i="7" s="1"/>
  <c r="U50" i="7" s="1"/>
  <c r="S49" i="7"/>
  <c r="T49" i="7"/>
  <c r="U49" i="7" s="1"/>
  <c r="S48" i="7"/>
  <c r="T48" i="7" s="1"/>
  <c r="U48" i="7" s="1"/>
  <c r="S47" i="7"/>
  <c r="S46" i="7"/>
  <c r="T46" i="7" s="1"/>
  <c r="U46" i="7" s="1"/>
  <c r="S45" i="7"/>
  <c r="T45" i="7"/>
  <c r="U45" i="7" s="1"/>
  <c r="S44" i="7"/>
  <c r="T44" i="7" s="1"/>
  <c r="U44" i="7" s="1"/>
  <c r="S43" i="7"/>
  <c r="S42" i="7"/>
  <c r="T42" i="7" s="1"/>
  <c r="U42" i="7" s="1"/>
  <c r="S41" i="7"/>
  <c r="T41" i="7"/>
  <c r="U41" i="7" s="1"/>
  <c r="S40" i="7"/>
  <c r="T40" i="7" s="1"/>
  <c r="U40" i="7" s="1"/>
  <c r="S39" i="7"/>
  <c r="S38" i="7"/>
  <c r="T38" i="7" s="1"/>
  <c r="U38" i="7" s="1"/>
  <c r="S37" i="7"/>
  <c r="T37" i="7"/>
  <c r="U37" i="7" s="1"/>
  <c r="S36" i="7"/>
  <c r="T36" i="7" s="1"/>
  <c r="U36" i="7" s="1"/>
  <c r="S35" i="7"/>
  <c r="T35" i="7"/>
  <c r="U35" i="7" s="1"/>
  <c r="S34" i="7"/>
  <c r="T34" i="7" s="1"/>
  <c r="U34" i="7" s="1"/>
  <c r="S33" i="7"/>
  <c r="T33" i="7"/>
  <c r="U33" i="7" s="1"/>
  <c r="S32" i="7"/>
  <c r="T32" i="7" s="1"/>
  <c r="U32" i="7" s="1"/>
  <c r="S31" i="7"/>
  <c r="S30" i="7"/>
  <c r="T30" i="7" s="1"/>
  <c r="U30" i="7" s="1"/>
  <c r="S29" i="7"/>
  <c r="T29" i="7"/>
  <c r="U29" i="7" s="1"/>
  <c r="S28" i="7"/>
  <c r="T28" i="7" s="1"/>
  <c r="U28" i="7" s="1"/>
  <c r="S27" i="7"/>
  <c r="S26" i="7"/>
  <c r="T26" i="7" s="1"/>
  <c r="U26" i="7" s="1"/>
  <c r="S25" i="7"/>
  <c r="T25" i="7"/>
  <c r="U25" i="7" s="1"/>
  <c r="S24" i="7"/>
  <c r="T24" i="7" s="1"/>
  <c r="U24" i="7" s="1"/>
  <c r="S23" i="7"/>
  <c r="S22" i="7"/>
  <c r="T22" i="7" s="1"/>
  <c r="U22" i="7" s="1"/>
  <c r="S21" i="7"/>
  <c r="T21" i="7"/>
  <c r="U21" i="7" s="1"/>
  <c r="S20" i="7"/>
  <c r="T20" i="7" s="1"/>
  <c r="U20" i="7" s="1"/>
  <c r="S19" i="7"/>
  <c r="S18" i="7"/>
  <c r="T18" i="7" s="1"/>
  <c r="U18" i="7" s="1"/>
  <c r="S17" i="7"/>
  <c r="T17" i="7"/>
  <c r="U17" i="7" s="1"/>
  <c r="S16" i="7"/>
  <c r="T16" i="7" s="1"/>
  <c r="U16" i="7" s="1"/>
  <c r="S15" i="7"/>
  <c r="S14" i="7"/>
  <c r="T14" i="7" s="1"/>
  <c r="U14" i="7" s="1"/>
  <c r="S13" i="7"/>
  <c r="T13" i="7"/>
  <c r="U13" i="7" s="1"/>
  <c r="T12" i="7"/>
  <c r="U12" i="7" s="1"/>
  <c r="T11" i="7"/>
  <c r="U11" i="7" s="1"/>
  <c r="T10" i="7"/>
  <c r="U10" i="7" s="1"/>
  <c r="T9" i="7"/>
  <c r="U9" i="7" s="1"/>
  <c r="T8" i="7"/>
  <c r="U8" i="7" s="1"/>
  <c r="T6" i="7"/>
  <c r="U6" i="7" s="1"/>
  <c r="T5" i="7"/>
  <c r="U5" i="7" s="1"/>
  <c r="T31" i="7"/>
  <c r="U31" i="7"/>
  <c r="T27" i="7"/>
  <c r="U27" i="7"/>
  <c r="T23" i="7"/>
  <c r="U23" i="7"/>
  <c r="T19" i="7"/>
  <c r="U19" i="7"/>
  <c r="T15" i="7"/>
  <c r="U15" i="7"/>
  <c r="T7" i="7"/>
  <c r="U7" i="7"/>
  <c r="T43" i="7"/>
  <c r="U43" i="7"/>
  <c r="M43" i="7"/>
  <c r="G43" i="7"/>
  <c r="M42" i="7"/>
  <c r="G42" i="7"/>
  <c r="M41" i="7"/>
  <c r="G41" i="7"/>
  <c r="M40" i="7"/>
  <c r="T39" i="7"/>
  <c r="U39" i="7" s="1"/>
  <c r="M39" i="7"/>
  <c r="G39" i="7"/>
  <c r="M38" i="7"/>
  <c r="G38" i="7"/>
  <c r="M37" i="7"/>
  <c r="G37" i="7"/>
  <c r="M36" i="7"/>
  <c r="M35" i="7"/>
  <c r="G35" i="7"/>
  <c r="M34" i="7"/>
  <c r="G34" i="7"/>
  <c r="M33" i="7"/>
  <c r="G33" i="7"/>
  <c r="M32" i="7"/>
  <c r="M49" i="7"/>
  <c r="G49" i="7"/>
  <c r="M48" i="7"/>
  <c r="T47" i="7"/>
  <c r="U47" i="7"/>
  <c r="M47" i="7"/>
  <c r="G47" i="7"/>
  <c r="M46" i="7"/>
  <c r="G46" i="7"/>
  <c r="M45" i="7"/>
  <c r="G45" i="7"/>
  <c r="M44" i="7"/>
  <c r="M52" i="7"/>
  <c r="T51" i="7"/>
  <c r="U51" i="7"/>
  <c r="M51" i="7"/>
  <c r="G51" i="7"/>
  <c r="M50" i="7"/>
  <c r="G50" i="7"/>
  <c r="M54" i="7"/>
  <c r="G54" i="7"/>
  <c r="T55" i="7"/>
  <c r="U55" i="7"/>
  <c r="M56" i="7"/>
  <c r="M55" i="7"/>
  <c r="M53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53" i="7"/>
  <c r="G55" i="7"/>
  <c r="J71" i="6"/>
  <c r="I71" i="6"/>
  <c r="F71" i="6"/>
  <c r="E71" i="6"/>
  <c r="U7" i="6"/>
  <c r="A3" i="6"/>
  <c r="J71" i="5"/>
  <c r="I71" i="5"/>
  <c r="F71" i="5"/>
  <c r="E71" i="5"/>
  <c r="U7" i="5"/>
  <c r="A3" i="5"/>
  <c r="J71" i="4"/>
  <c r="I71" i="4"/>
  <c r="F71" i="4"/>
  <c r="E71" i="4"/>
  <c r="U7" i="4"/>
  <c r="A3" i="4"/>
  <c r="U7" i="1"/>
  <c r="A3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5" i="1"/>
  <c r="N26" i="1"/>
  <c r="D27" i="1"/>
  <c r="N27" i="1" s="1"/>
  <c r="D28" i="1"/>
  <c r="N28" i="1" s="1"/>
  <c r="D29" i="1"/>
  <c r="N29" i="1" s="1"/>
  <c r="D30" i="1"/>
  <c r="N30" i="1" s="1"/>
  <c r="D31" i="1"/>
  <c r="N31" i="1" s="1"/>
  <c r="D32" i="1"/>
  <c r="N32" i="1" s="1"/>
  <c r="D33" i="1"/>
  <c r="N33" i="1" s="1"/>
  <c r="D34" i="1"/>
  <c r="N34" i="1" s="1"/>
  <c r="D35" i="1"/>
  <c r="N35" i="1" s="1"/>
  <c r="D36" i="1"/>
  <c r="N36" i="1" s="1"/>
  <c r="D10" i="4"/>
  <c r="N10" i="4" s="1"/>
  <c r="D7" i="4"/>
  <c r="N7" i="4" s="1"/>
  <c r="D11" i="4"/>
  <c r="N11" i="4" s="1"/>
  <c r="D13" i="4"/>
  <c r="N13" i="4" s="1"/>
  <c r="D8" i="4"/>
  <c r="N8" i="4" s="1"/>
  <c r="D17" i="4"/>
  <c r="N17" i="4" s="1"/>
  <c r="D15" i="4"/>
  <c r="N15" i="4" s="1"/>
  <c r="D20" i="4"/>
  <c r="N20" i="4" s="1"/>
  <c r="D16" i="4"/>
  <c r="N16" i="4" s="1"/>
  <c r="D9" i="4"/>
  <c r="N9" i="4" s="1"/>
  <c r="D12" i="4"/>
  <c r="N12" i="4" s="1"/>
  <c r="D19" i="4"/>
  <c r="N19" i="4" s="1"/>
  <c r="D14" i="4"/>
  <c r="N14" i="4" s="1"/>
  <c r="D18" i="4"/>
  <c r="N18" i="4" s="1"/>
  <c r="D21" i="4"/>
  <c r="N21" i="4" s="1"/>
  <c r="D22" i="4"/>
  <c r="N22" i="4" s="1"/>
  <c r="D23" i="4"/>
  <c r="N23" i="4" s="1"/>
  <c r="D24" i="4"/>
  <c r="N24" i="4" s="1"/>
  <c r="D25" i="4"/>
  <c r="N25" i="4" s="1"/>
  <c r="D26" i="4"/>
  <c r="N26" i="4" s="1"/>
  <c r="D27" i="4"/>
  <c r="N27" i="4" s="1"/>
  <c r="D28" i="4"/>
  <c r="N28" i="4" s="1"/>
  <c r="D29" i="4"/>
  <c r="N29" i="4" s="1"/>
  <c r="D30" i="4"/>
  <c r="N30" i="4" s="1"/>
  <c r="D31" i="4"/>
  <c r="N31" i="4" s="1"/>
  <c r="D32" i="4"/>
  <c r="N32" i="4" s="1"/>
  <c r="D33" i="4"/>
  <c r="N33" i="4" s="1"/>
  <c r="D34" i="4"/>
  <c r="N34" i="4" s="1"/>
  <c r="D35" i="4"/>
  <c r="N35" i="4" s="1"/>
  <c r="D36" i="4"/>
  <c r="N36" i="4" s="1"/>
  <c r="D8" i="5"/>
  <c r="N8" i="5" s="1"/>
  <c r="D9" i="5"/>
  <c r="N9" i="5" s="1"/>
  <c r="D10" i="5"/>
  <c r="N10" i="5" s="1"/>
  <c r="D11" i="5"/>
  <c r="N11" i="5" s="1"/>
  <c r="D12" i="5"/>
  <c r="N12" i="5" s="1"/>
  <c r="D13" i="5"/>
  <c r="N13" i="5" s="1"/>
  <c r="D14" i="5"/>
  <c r="N14" i="5" s="1"/>
  <c r="D15" i="5"/>
  <c r="N15" i="5" s="1"/>
  <c r="D16" i="5"/>
  <c r="N16" i="5" s="1"/>
  <c r="D8" i="6"/>
  <c r="N8" i="6" s="1"/>
  <c r="D9" i="6"/>
  <c r="N9" i="6" s="1"/>
  <c r="D10" i="6"/>
  <c r="N10" i="6" s="1"/>
  <c r="D11" i="6"/>
  <c r="N11" i="6" s="1"/>
  <c r="D12" i="6"/>
  <c r="N12" i="6" s="1"/>
  <c r="D13" i="6"/>
  <c r="N13" i="6" s="1"/>
  <c r="D14" i="6"/>
  <c r="N14" i="6" s="1"/>
  <c r="D70" i="6"/>
  <c r="N70" i="6" s="1"/>
  <c r="M70" i="6"/>
  <c r="D69" i="6"/>
  <c r="N69" i="6" s="1"/>
  <c r="M69" i="6"/>
  <c r="D68" i="6"/>
  <c r="N68" i="6" s="1"/>
  <c r="M68" i="6"/>
  <c r="D67" i="6"/>
  <c r="N67" i="6" s="1"/>
  <c r="M67" i="6"/>
  <c r="D66" i="6"/>
  <c r="N66" i="6" s="1"/>
  <c r="M66" i="6"/>
  <c r="D65" i="6"/>
  <c r="N65" i="6" s="1"/>
  <c r="M65" i="6"/>
  <c r="D64" i="6"/>
  <c r="N64" i="6" s="1"/>
  <c r="M64" i="6"/>
  <c r="D63" i="6"/>
  <c r="N63" i="6" s="1"/>
  <c r="M63" i="6"/>
  <c r="D62" i="6"/>
  <c r="N62" i="6" s="1"/>
  <c r="M62" i="6"/>
  <c r="D61" i="6"/>
  <c r="N61" i="6" s="1"/>
  <c r="M61" i="6"/>
  <c r="D38" i="6"/>
  <c r="N38" i="6" s="1"/>
  <c r="M38" i="6"/>
  <c r="D37" i="6"/>
  <c r="N37" i="6" s="1"/>
  <c r="M37" i="6"/>
  <c r="D36" i="6"/>
  <c r="N36" i="6" s="1"/>
  <c r="M36" i="6"/>
  <c r="D35" i="6"/>
  <c r="N35" i="6" s="1"/>
  <c r="M35" i="6"/>
  <c r="D34" i="6"/>
  <c r="N34" i="6" s="1"/>
  <c r="M34" i="6"/>
  <c r="D33" i="6"/>
  <c r="N33" i="6" s="1"/>
  <c r="M33" i="6"/>
  <c r="D32" i="6"/>
  <c r="N32" i="6" s="1"/>
  <c r="M32" i="6"/>
  <c r="D31" i="6"/>
  <c r="N31" i="6" s="1"/>
  <c r="M31" i="6"/>
  <c r="D30" i="6"/>
  <c r="N30" i="6" s="1"/>
  <c r="M30" i="6"/>
  <c r="D29" i="6"/>
  <c r="N29" i="6" s="1"/>
  <c r="M29" i="6"/>
  <c r="D28" i="6"/>
  <c r="N28" i="6" s="1"/>
  <c r="M28" i="6"/>
  <c r="D27" i="6"/>
  <c r="N27" i="6" s="1"/>
  <c r="M27" i="6"/>
  <c r="D26" i="6"/>
  <c r="N26" i="6" s="1"/>
  <c r="M26" i="6"/>
  <c r="D25" i="6"/>
  <c r="N25" i="6" s="1"/>
  <c r="M25" i="6"/>
  <c r="D24" i="6"/>
  <c r="N24" i="6" s="1"/>
  <c r="M24" i="6"/>
  <c r="D23" i="6"/>
  <c r="N23" i="6" s="1"/>
  <c r="M23" i="6"/>
  <c r="D22" i="6"/>
  <c r="N22" i="6" s="1"/>
  <c r="M22" i="6"/>
  <c r="D21" i="6"/>
  <c r="N21" i="6" s="1"/>
  <c r="M21" i="6"/>
  <c r="D20" i="6"/>
  <c r="N20" i="6" s="1"/>
  <c r="M20" i="6"/>
  <c r="D19" i="6"/>
  <c r="N19" i="6" s="1"/>
  <c r="M19" i="6"/>
  <c r="D18" i="6"/>
  <c r="N18" i="6" s="1"/>
  <c r="M18" i="6"/>
  <c r="D17" i="6"/>
  <c r="N17" i="6" s="1"/>
  <c r="M17" i="6"/>
  <c r="D16" i="6"/>
  <c r="N16" i="6" s="1"/>
  <c r="M16" i="6"/>
  <c r="D15" i="6"/>
  <c r="N15" i="6" s="1"/>
  <c r="M15" i="6"/>
  <c r="M14" i="6"/>
  <c r="M13" i="6"/>
  <c r="M12" i="6"/>
  <c r="M11" i="6"/>
  <c r="M10" i="6"/>
  <c r="M9" i="6"/>
  <c r="M8" i="6"/>
  <c r="D70" i="5"/>
  <c r="N70" i="5" s="1"/>
  <c r="M70" i="5"/>
  <c r="D69" i="5"/>
  <c r="N69" i="5" s="1"/>
  <c r="M69" i="5"/>
  <c r="D68" i="5"/>
  <c r="N68" i="5" s="1"/>
  <c r="M68" i="5"/>
  <c r="D67" i="5"/>
  <c r="N67" i="5" s="1"/>
  <c r="M67" i="5"/>
  <c r="D66" i="5"/>
  <c r="N66" i="5" s="1"/>
  <c r="M66" i="5"/>
  <c r="D65" i="5"/>
  <c r="N65" i="5" s="1"/>
  <c r="M65" i="5"/>
  <c r="D64" i="5"/>
  <c r="N64" i="5" s="1"/>
  <c r="M64" i="5"/>
  <c r="D63" i="5"/>
  <c r="N63" i="5" s="1"/>
  <c r="M63" i="5"/>
  <c r="D62" i="5"/>
  <c r="N62" i="5" s="1"/>
  <c r="M62" i="5"/>
  <c r="D61" i="5"/>
  <c r="N61" i="5" s="1"/>
  <c r="M61" i="5"/>
  <c r="D38" i="5"/>
  <c r="N38" i="5" s="1"/>
  <c r="M38" i="5"/>
  <c r="D37" i="5"/>
  <c r="N37" i="5" s="1"/>
  <c r="M37" i="5"/>
  <c r="D36" i="5"/>
  <c r="N36" i="5" s="1"/>
  <c r="M36" i="5"/>
  <c r="D35" i="5"/>
  <c r="N35" i="5" s="1"/>
  <c r="M35" i="5"/>
  <c r="D34" i="5"/>
  <c r="N34" i="5" s="1"/>
  <c r="M34" i="5"/>
  <c r="D33" i="5"/>
  <c r="N33" i="5" s="1"/>
  <c r="M33" i="5"/>
  <c r="D32" i="5"/>
  <c r="N32" i="5" s="1"/>
  <c r="M32" i="5"/>
  <c r="D31" i="5"/>
  <c r="N31" i="5" s="1"/>
  <c r="M31" i="5"/>
  <c r="D30" i="5"/>
  <c r="N30" i="5" s="1"/>
  <c r="M30" i="5"/>
  <c r="D29" i="5"/>
  <c r="N29" i="5" s="1"/>
  <c r="M29" i="5"/>
  <c r="D28" i="5"/>
  <c r="N28" i="5" s="1"/>
  <c r="M28" i="5"/>
  <c r="D27" i="5"/>
  <c r="N27" i="5" s="1"/>
  <c r="M27" i="5"/>
  <c r="D26" i="5"/>
  <c r="N26" i="5" s="1"/>
  <c r="M26" i="5"/>
  <c r="D25" i="5"/>
  <c r="N25" i="5" s="1"/>
  <c r="M25" i="5"/>
  <c r="D24" i="5"/>
  <c r="N24" i="5" s="1"/>
  <c r="M24" i="5"/>
  <c r="D23" i="5"/>
  <c r="N23" i="5" s="1"/>
  <c r="M23" i="5"/>
  <c r="D22" i="5"/>
  <c r="N22" i="5" s="1"/>
  <c r="M22" i="5"/>
  <c r="D21" i="5"/>
  <c r="N21" i="5" s="1"/>
  <c r="M21" i="5"/>
  <c r="D20" i="5"/>
  <c r="N20" i="5" s="1"/>
  <c r="M20" i="5"/>
  <c r="D19" i="5"/>
  <c r="N19" i="5" s="1"/>
  <c r="M19" i="5"/>
  <c r="D18" i="5"/>
  <c r="N18" i="5" s="1"/>
  <c r="M18" i="5"/>
  <c r="D17" i="5"/>
  <c r="N17" i="5" s="1"/>
  <c r="M17" i="5"/>
  <c r="M16" i="5"/>
  <c r="M15" i="5"/>
  <c r="M14" i="5"/>
  <c r="M13" i="5"/>
  <c r="M12" i="5"/>
  <c r="M11" i="5"/>
  <c r="M10" i="5"/>
  <c r="M9" i="5"/>
  <c r="M8" i="5"/>
  <c r="D70" i="4"/>
  <c r="N70" i="4" s="1"/>
  <c r="M70" i="4"/>
  <c r="D69" i="4"/>
  <c r="N69" i="4" s="1"/>
  <c r="M69" i="4"/>
  <c r="D68" i="4"/>
  <c r="N68" i="4" s="1"/>
  <c r="M68" i="4"/>
  <c r="D67" i="4"/>
  <c r="N67" i="4" s="1"/>
  <c r="M67" i="4"/>
  <c r="D66" i="4"/>
  <c r="N66" i="4" s="1"/>
  <c r="M66" i="4"/>
  <c r="D65" i="4"/>
  <c r="N65" i="4" s="1"/>
  <c r="M65" i="4"/>
  <c r="D64" i="4"/>
  <c r="N64" i="4" s="1"/>
  <c r="M64" i="4"/>
  <c r="D63" i="4"/>
  <c r="N63" i="4" s="1"/>
  <c r="M63" i="4"/>
  <c r="D62" i="4"/>
  <c r="N62" i="4" s="1"/>
  <c r="M62" i="4"/>
  <c r="D61" i="4"/>
  <c r="N61" i="4" s="1"/>
  <c r="M61" i="4"/>
  <c r="D38" i="4"/>
  <c r="N38" i="4" s="1"/>
  <c r="M38" i="4"/>
  <c r="D37" i="4"/>
  <c r="N37" i="4" s="1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D70" i="1"/>
  <c r="N70" i="1" s="1"/>
  <c r="D69" i="1"/>
  <c r="N69" i="1" s="1"/>
  <c r="D68" i="1"/>
  <c r="N68" i="1" s="1"/>
  <c r="D67" i="1"/>
  <c r="N67" i="1" s="1"/>
  <c r="D66" i="1"/>
  <c r="N66" i="1" s="1"/>
  <c r="D65" i="1"/>
  <c r="N65" i="1" s="1"/>
  <c r="D64" i="1"/>
  <c r="N64" i="1" s="1"/>
  <c r="D63" i="1"/>
  <c r="N63" i="1" s="1"/>
  <c r="D62" i="1"/>
  <c r="N62" i="1" s="1"/>
  <c r="D61" i="1"/>
  <c r="N61" i="1" s="1"/>
  <c r="D38" i="1"/>
  <c r="N38" i="1" s="1"/>
  <c r="D37" i="1"/>
  <c r="N37" i="1" s="1"/>
  <c r="M33" i="1"/>
  <c r="M32" i="1"/>
  <c r="M31" i="1"/>
  <c r="M30" i="1"/>
  <c r="M29" i="1"/>
  <c r="M28" i="1"/>
  <c r="M27" i="1"/>
  <c r="M26" i="1"/>
  <c r="M25" i="1"/>
  <c r="M24" i="1"/>
  <c r="M23" i="1"/>
  <c r="M22" i="1"/>
  <c r="M35" i="1"/>
  <c r="M34" i="1"/>
  <c r="M21" i="1"/>
  <c r="M20" i="1"/>
  <c r="M19" i="1"/>
  <c r="M18" i="1"/>
  <c r="M17" i="1"/>
  <c r="M16" i="1"/>
  <c r="M15" i="1"/>
  <c r="M63" i="1"/>
  <c r="M62" i="1"/>
  <c r="M61" i="1"/>
  <c r="M38" i="1"/>
  <c r="M37" i="1"/>
  <c r="M8" i="1"/>
  <c r="M9" i="1"/>
  <c r="M10" i="1"/>
  <c r="M11" i="1"/>
  <c r="M13" i="1"/>
  <c r="M14" i="1"/>
  <c r="M36" i="1"/>
  <c r="M64" i="1"/>
  <c r="M65" i="1"/>
  <c r="M66" i="1"/>
  <c r="M67" i="1"/>
  <c r="M69" i="1"/>
  <c r="M70" i="1"/>
  <c r="M12" i="1"/>
  <c r="M68" i="1"/>
  <c r="M7" i="1"/>
  <c r="N7" i="1"/>
  <c r="D7" i="5"/>
  <c r="N7" i="5" s="1"/>
  <c r="D7" i="6"/>
  <c r="N7" i="6" s="1"/>
  <c r="M7" i="4"/>
  <c r="M7" i="5"/>
  <c r="M7" i="6"/>
  <c r="AK2" i="7" l="1"/>
  <c r="W337" i="9"/>
  <c r="W305" i="9"/>
  <c r="Y305" i="9" s="1"/>
  <c r="Z305" i="9" s="1"/>
  <c r="P305" i="9" s="1"/>
  <c r="AD305" i="9" s="1"/>
  <c r="W273" i="9"/>
  <c r="W241" i="9"/>
  <c r="W209" i="9"/>
  <c r="W177" i="9"/>
  <c r="Y177" i="9" s="1"/>
  <c r="Z177" i="9" s="1"/>
  <c r="P177" i="9" s="1"/>
  <c r="AD177" i="9" s="1"/>
  <c r="W159" i="9"/>
  <c r="W143" i="9"/>
  <c r="W127" i="9"/>
  <c r="W111" i="9"/>
  <c r="W95" i="9"/>
  <c r="W83" i="9"/>
  <c r="W77" i="9"/>
  <c r="W66" i="9"/>
  <c r="Y66" i="9" s="1"/>
  <c r="Z66" i="9" s="1"/>
  <c r="P66" i="9" s="1"/>
  <c r="AD66" i="9" s="1"/>
  <c r="W58" i="9"/>
  <c r="Y337" i="9"/>
  <c r="Z337" i="9" s="1"/>
  <c r="P337" i="9" s="1"/>
  <c r="AD337" i="9" s="1"/>
  <c r="Y273" i="9"/>
  <c r="Y241" i="9"/>
  <c r="Y209" i="9"/>
  <c r="Y159" i="9"/>
  <c r="Z159" i="9" s="1"/>
  <c r="P159" i="9" s="1"/>
  <c r="AD159" i="9" s="1"/>
  <c r="Z62" i="9"/>
  <c r="P62" i="9" s="1"/>
  <c r="AD62" i="9" s="1"/>
  <c r="Y60" i="9"/>
  <c r="Z60" i="9" s="1"/>
  <c r="P60" i="9" s="1"/>
  <c r="AD60" i="9" s="1"/>
  <c r="Y58" i="9"/>
  <c r="Z58" i="9" s="1"/>
  <c r="P58" i="9" s="1"/>
  <c r="AD58" i="9" s="1"/>
  <c r="W325" i="9"/>
  <c r="W293" i="9"/>
  <c r="W261" i="9"/>
  <c r="W229" i="9"/>
  <c r="W197" i="9"/>
  <c r="W165" i="9"/>
  <c r="W149" i="9"/>
  <c r="W133" i="9"/>
  <c r="W117" i="9"/>
  <c r="W101" i="9"/>
  <c r="W85" i="9"/>
  <c r="W79" i="9"/>
  <c r="W68" i="9"/>
  <c r="Y68" i="9" s="1"/>
  <c r="Z68" i="9" s="1"/>
  <c r="P68" i="9" s="1"/>
  <c r="AD68" i="9" s="1"/>
  <c r="W60" i="9"/>
  <c r="Y143" i="9"/>
  <c r="Z143" i="9" s="1"/>
  <c r="P143" i="9" s="1"/>
  <c r="AD143" i="9" s="1"/>
  <c r="Y127" i="9"/>
  <c r="Z127" i="9" s="1"/>
  <c r="P127" i="9" s="1"/>
  <c r="AD127" i="9" s="1"/>
  <c r="Z119" i="9"/>
  <c r="P119" i="9" s="1"/>
  <c r="AD119" i="9" s="1"/>
  <c r="Y111" i="9"/>
  <c r="Y95" i="9"/>
  <c r="Z95" i="9" s="1"/>
  <c r="P95" i="9" s="1"/>
  <c r="AD95" i="9" s="1"/>
  <c r="Y83" i="9"/>
  <c r="Y79" i="9"/>
  <c r="Z289" i="9"/>
  <c r="P289" i="9" s="1"/>
  <c r="AD289" i="9" s="1"/>
  <c r="Z273" i="9"/>
  <c r="P273" i="9" s="1"/>
  <c r="AD273" i="9" s="1"/>
  <c r="Z257" i="9"/>
  <c r="P257" i="9" s="1"/>
  <c r="AD257" i="9" s="1"/>
  <c r="Z241" i="9"/>
  <c r="P241" i="9" s="1"/>
  <c r="AD241" i="9" s="1"/>
  <c r="Z225" i="9"/>
  <c r="P225" i="9" s="1"/>
  <c r="AD225" i="9" s="1"/>
  <c r="Z209" i="9"/>
  <c r="P209" i="9" s="1"/>
  <c r="AD209" i="9" s="1"/>
  <c r="Z193" i="9"/>
  <c r="P193" i="9" s="1"/>
  <c r="AD193" i="9" s="1"/>
  <c r="Z151" i="9"/>
  <c r="P151" i="9" s="1"/>
  <c r="AD151" i="9" s="1"/>
  <c r="Z111" i="9"/>
  <c r="P111" i="9" s="1"/>
  <c r="AD111" i="9" s="1"/>
  <c r="Z70" i="9"/>
  <c r="P70" i="9" s="1"/>
  <c r="AD70" i="9" s="1"/>
  <c r="Z56" i="9"/>
  <c r="P56" i="9" s="1"/>
  <c r="AD56" i="9" s="1"/>
  <c r="W365" i="9"/>
  <c r="Y365" i="9" s="1"/>
  <c r="Z365" i="9" s="1"/>
  <c r="P365" i="9" s="1"/>
  <c r="AD365" i="9" s="1"/>
  <c r="W349" i="9"/>
  <c r="Y349" i="9" s="1"/>
  <c r="Z349" i="9" s="1"/>
  <c r="P349" i="9" s="1"/>
  <c r="AD349" i="9" s="1"/>
  <c r="W333" i="9"/>
  <c r="Y333" i="9" s="1"/>
  <c r="Z333" i="9" s="1"/>
  <c r="P333" i="9" s="1"/>
  <c r="AD333" i="9" s="1"/>
  <c r="W317" i="9"/>
  <c r="Y317" i="9" s="1"/>
  <c r="Z317" i="9" s="1"/>
  <c r="P317" i="9" s="1"/>
  <c r="AD317" i="9" s="1"/>
  <c r="W301" i="9"/>
  <c r="Y301" i="9" s="1"/>
  <c r="Z301" i="9" s="1"/>
  <c r="P301" i="9" s="1"/>
  <c r="AD301" i="9" s="1"/>
  <c r="W285" i="9"/>
  <c r="Y285" i="9" s="1"/>
  <c r="Z285" i="9" s="1"/>
  <c r="P285" i="9" s="1"/>
  <c r="AD285" i="9" s="1"/>
  <c r="W269" i="9"/>
  <c r="W253" i="9"/>
  <c r="W237" i="9"/>
  <c r="W221" i="9"/>
  <c r="W205" i="9"/>
  <c r="W189" i="9"/>
  <c r="W173" i="9"/>
  <c r="W161" i="9"/>
  <c r="Y161" i="9" s="1"/>
  <c r="Z161" i="9" s="1"/>
  <c r="P161" i="9" s="1"/>
  <c r="AD161" i="9" s="1"/>
  <c r="W153" i="9"/>
  <c r="Y153" i="9" s="1"/>
  <c r="Z153" i="9" s="1"/>
  <c r="P153" i="9" s="1"/>
  <c r="AD153" i="9" s="1"/>
  <c r="W145" i="9"/>
  <c r="Y145" i="9" s="1"/>
  <c r="Z145" i="9" s="1"/>
  <c r="P145" i="9" s="1"/>
  <c r="AD145" i="9" s="1"/>
  <c r="W137" i="9"/>
  <c r="Y137" i="9" s="1"/>
  <c r="Z137" i="9" s="1"/>
  <c r="P137" i="9" s="1"/>
  <c r="AD137" i="9" s="1"/>
  <c r="W129" i="9"/>
  <c r="Y129" i="9" s="1"/>
  <c r="Z129" i="9" s="1"/>
  <c r="P129" i="9" s="1"/>
  <c r="AD129" i="9" s="1"/>
  <c r="W121" i="9"/>
  <c r="Y121" i="9" s="1"/>
  <c r="Z121" i="9" s="1"/>
  <c r="P121" i="9" s="1"/>
  <c r="AD121" i="9" s="1"/>
  <c r="W113" i="9"/>
  <c r="Y113" i="9" s="1"/>
  <c r="Z113" i="9" s="1"/>
  <c r="P113" i="9" s="1"/>
  <c r="AD113" i="9" s="1"/>
  <c r="W105" i="9"/>
  <c r="Y105" i="9" s="1"/>
  <c r="Z105" i="9" s="1"/>
  <c r="P105" i="9" s="1"/>
  <c r="AD105" i="9" s="1"/>
  <c r="W97" i="9"/>
  <c r="Y97" i="9" s="1"/>
  <c r="Z97" i="9" s="1"/>
  <c r="P97" i="9" s="1"/>
  <c r="AD97" i="9" s="1"/>
  <c r="W89" i="9"/>
  <c r="W81" i="9"/>
  <c r="W73" i="9"/>
  <c r="W71" i="9"/>
  <c r="Y71" i="9" s="1"/>
  <c r="Z71" i="9" s="1"/>
  <c r="P71" i="9" s="1"/>
  <c r="AD71" i="9" s="1"/>
  <c r="W69" i="9"/>
  <c r="W67" i="9"/>
  <c r="W65" i="9"/>
  <c r="W63" i="9"/>
  <c r="Y63" i="9" s="1"/>
  <c r="Z63" i="9" s="1"/>
  <c r="P63" i="9" s="1"/>
  <c r="AD63" i="9" s="1"/>
  <c r="W61" i="9"/>
  <c r="W59" i="9"/>
  <c r="W57" i="9"/>
  <c r="W55" i="9"/>
  <c r="Y55" i="9" s="1"/>
  <c r="Z55" i="9" s="1"/>
  <c r="P55" i="9" s="1"/>
  <c r="AD55" i="9" s="1"/>
  <c r="W53" i="9"/>
  <c r="W43" i="9"/>
  <c r="W361" i="9"/>
  <c r="Y361" i="9" s="1"/>
  <c r="Z361" i="9" s="1"/>
  <c r="P361" i="9" s="1"/>
  <c r="AD361" i="9" s="1"/>
  <c r="W345" i="9"/>
  <c r="Y345" i="9" s="1"/>
  <c r="Z345" i="9" s="1"/>
  <c r="P345" i="9" s="1"/>
  <c r="AD345" i="9" s="1"/>
  <c r="W329" i="9"/>
  <c r="Y329" i="9" s="1"/>
  <c r="Z329" i="9" s="1"/>
  <c r="P329" i="9" s="1"/>
  <c r="AD329" i="9" s="1"/>
  <c r="W313" i="9"/>
  <c r="Y313" i="9" s="1"/>
  <c r="Z313" i="9" s="1"/>
  <c r="P313" i="9" s="1"/>
  <c r="AD313" i="9" s="1"/>
  <c r="W297" i="9"/>
  <c r="Y297" i="9" s="1"/>
  <c r="Z297" i="9" s="1"/>
  <c r="P297" i="9" s="1"/>
  <c r="AD297" i="9" s="1"/>
  <c r="W281" i="9"/>
  <c r="Y281" i="9" s="1"/>
  <c r="Z281" i="9" s="1"/>
  <c r="P281" i="9" s="1"/>
  <c r="AD281" i="9" s="1"/>
  <c r="W265" i="9"/>
  <c r="Y265" i="9" s="1"/>
  <c r="Z265" i="9" s="1"/>
  <c r="P265" i="9" s="1"/>
  <c r="AD265" i="9" s="1"/>
  <c r="W249" i="9"/>
  <c r="Y249" i="9" s="1"/>
  <c r="Z249" i="9" s="1"/>
  <c r="P249" i="9" s="1"/>
  <c r="AD249" i="9" s="1"/>
  <c r="W233" i="9"/>
  <c r="Y233" i="9" s="1"/>
  <c r="Z233" i="9" s="1"/>
  <c r="P233" i="9" s="1"/>
  <c r="AD233" i="9" s="1"/>
  <c r="W217" i="9"/>
  <c r="Y217" i="9" s="1"/>
  <c r="Z217" i="9" s="1"/>
  <c r="P217" i="9" s="1"/>
  <c r="AD217" i="9" s="1"/>
  <c r="W201" i="9"/>
  <c r="Y201" i="9" s="1"/>
  <c r="Z201" i="9" s="1"/>
  <c r="P201" i="9" s="1"/>
  <c r="AD201" i="9" s="1"/>
  <c r="W185" i="9"/>
  <c r="Y185" i="9" s="1"/>
  <c r="Z185" i="9" s="1"/>
  <c r="P185" i="9" s="1"/>
  <c r="AD185" i="9" s="1"/>
  <c r="W169" i="9"/>
  <c r="Y169" i="9" s="1"/>
  <c r="Z169" i="9" s="1"/>
  <c r="P169" i="9" s="1"/>
  <c r="AD169" i="9" s="1"/>
  <c r="W163" i="9"/>
  <c r="Y163" i="9" s="1"/>
  <c r="Z163" i="9" s="1"/>
  <c r="P163" i="9" s="1"/>
  <c r="AD163" i="9" s="1"/>
  <c r="W155" i="9"/>
  <c r="Y155" i="9" s="1"/>
  <c r="Z155" i="9" s="1"/>
  <c r="P155" i="9" s="1"/>
  <c r="AD155" i="9" s="1"/>
  <c r="W147" i="9"/>
  <c r="Y147" i="9" s="1"/>
  <c r="Z147" i="9" s="1"/>
  <c r="P147" i="9" s="1"/>
  <c r="AD147" i="9" s="1"/>
  <c r="W139" i="9"/>
  <c r="Y139" i="9" s="1"/>
  <c r="Z139" i="9" s="1"/>
  <c r="P139" i="9" s="1"/>
  <c r="AD139" i="9" s="1"/>
  <c r="W131" i="9"/>
  <c r="W123" i="9"/>
  <c r="Y123" i="9" s="1"/>
  <c r="Z123" i="9" s="1"/>
  <c r="P123" i="9" s="1"/>
  <c r="AD123" i="9" s="1"/>
  <c r="W115" i="9"/>
  <c r="W107" i="9"/>
  <c r="Y107" i="9" s="1"/>
  <c r="Z107" i="9" s="1"/>
  <c r="P107" i="9" s="1"/>
  <c r="AD107" i="9" s="1"/>
  <c r="W99" i="9"/>
  <c r="W91" i="9"/>
  <c r="Y91" i="9" s="1"/>
  <c r="Z91" i="9" s="1"/>
  <c r="P91" i="9" s="1"/>
  <c r="AD91" i="9" s="1"/>
  <c r="W45" i="9"/>
  <c r="Z135" i="9"/>
  <c r="P135" i="9" s="1"/>
  <c r="AD135" i="9" s="1"/>
  <c r="Z103" i="9"/>
  <c r="P103" i="9" s="1"/>
  <c r="AD103" i="9" s="1"/>
  <c r="Z87" i="9"/>
  <c r="P87" i="9" s="1"/>
  <c r="AD87" i="9" s="1"/>
  <c r="Z83" i="9"/>
  <c r="P83" i="9" s="1"/>
  <c r="AD83" i="9" s="1"/>
  <c r="Z79" i="9"/>
  <c r="P79" i="9" s="1"/>
  <c r="AD79" i="9" s="1"/>
  <c r="Z75" i="9"/>
  <c r="P75" i="9" s="1"/>
  <c r="AD75" i="9" s="1"/>
  <c r="Y67" i="9"/>
  <c r="Z67" i="9" s="1"/>
  <c r="P67" i="9" s="1"/>
  <c r="AD67" i="9" s="1"/>
  <c r="Z54" i="9"/>
  <c r="P54" i="9" s="1"/>
  <c r="AD54" i="9" s="1"/>
  <c r="Y341" i="9"/>
  <c r="Z341" i="9" s="1"/>
  <c r="P341" i="9" s="1"/>
  <c r="AD341" i="9" s="1"/>
  <c r="Y309" i="9"/>
  <c r="Z309" i="9" s="1"/>
  <c r="P309" i="9" s="1"/>
  <c r="AD309" i="9" s="1"/>
  <c r="Y293" i="9"/>
  <c r="Z293" i="9" s="1"/>
  <c r="P293" i="9" s="1"/>
  <c r="AD293" i="9" s="1"/>
  <c r="Y277" i="9"/>
  <c r="Z277" i="9" s="1"/>
  <c r="P277" i="9" s="1"/>
  <c r="AD277" i="9" s="1"/>
  <c r="Y245" i="9"/>
  <c r="Z245" i="9" s="1"/>
  <c r="P245" i="9" s="1"/>
  <c r="AD245" i="9" s="1"/>
  <c r="Y213" i="9"/>
  <c r="Z213" i="9" s="1"/>
  <c r="P213" i="9" s="1"/>
  <c r="AD213" i="9" s="1"/>
  <c r="Y181" i="9"/>
  <c r="Z181" i="9" s="1"/>
  <c r="P181" i="9" s="1"/>
  <c r="AD181" i="9" s="1"/>
  <c r="Y157" i="9"/>
  <c r="Z157" i="9" s="1"/>
  <c r="P157" i="9" s="1"/>
  <c r="AD157" i="9" s="1"/>
  <c r="Y149" i="9"/>
  <c r="Z149" i="9" s="1"/>
  <c r="P149" i="9" s="1"/>
  <c r="AD149" i="9" s="1"/>
  <c r="Y141" i="9"/>
  <c r="Z141" i="9" s="1"/>
  <c r="P141" i="9" s="1"/>
  <c r="AD141" i="9" s="1"/>
  <c r="Y133" i="9"/>
  <c r="Z133" i="9" s="1"/>
  <c r="P133" i="9" s="1"/>
  <c r="AD133" i="9" s="1"/>
  <c r="Y125" i="9"/>
  <c r="Z125" i="9" s="1"/>
  <c r="P125" i="9" s="1"/>
  <c r="AD125" i="9" s="1"/>
  <c r="Y117" i="9"/>
  <c r="Z117" i="9" s="1"/>
  <c r="P117" i="9" s="1"/>
  <c r="AD117" i="9" s="1"/>
  <c r="Y109" i="9"/>
  <c r="Z109" i="9" s="1"/>
  <c r="P109" i="9" s="1"/>
  <c r="AD109" i="9" s="1"/>
  <c r="Y101" i="9"/>
  <c r="Z101" i="9" s="1"/>
  <c r="P101" i="9" s="1"/>
  <c r="AD101" i="9" s="1"/>
  <c r="Y93" i="9"/>
  <c r="Z93" i="9" s="1"/>
  <c r="P93" i="9" s="1"/>
  <c r="AD93" i="9" s="1"/>
  <c r="Y85" i="9"/>
  <c r="Z85" i="9" s="1"/>
  <c r="P85" i="9" s="1"/>
  <c r="AD85" i="9" s="1"/>
  <c r="Y77" i="9"/>
  <c r="Z77" i="9" s="1"/>
  <c r="P77" i="9" s="1"/>
  <c r="AD77" i="9" s="1"/>
  <c r="Y131" i="9"/>
  <c r="Z131" i="9" s="1"/>
  <c r="P131" i="9" s="1"/>
  <c r="AD131" i="9" s="1"/>
  <c r="Y115" i="9"/>
  <c r="Z115" i="9" s="1"/>
  <c r="P115" i="9" s="1"/>
  <c r="AD115" i="9" s="1"/>
  <c r="Y99" i="9"/>
  <c r="Z99" i="9" s="1"/>
  <c r="P99" i="9" s="1"/>
  <c r="AD99" i="9" s="1"/>
  <c r="Y59" i="9"/>
  <c r="Z59" i="9" s="1"/>
  <c r="P59" i="9" s="1"/>
  <c r="AD59" i="9" s="1"/>
  <c r="W369" i="9"/>
  <c r="Y369" i="9" s="1"/>
  <c r="Z369" i="9" s="1"/>
  <c r="P369" i="9" s="1"/>
  <c r="AD369" i="9" s="1"/>
  <c r="W353" i="9"/>
  <c r="Y353" i="9" s="1"/>
  <c r="Z353" i="9" s="1"/>
  <c r="P353" i="9" s="1"/>
  <c r="AD353" i="9" s="1"/>
  <c r="W37" i="9"/>
  <c r="V368" i="9"/>
  <c r="W368" i="9"/>
  <c r="V355" i="9"/>
  <c r="W355" i="9"/>
  <c r="V352" i="9"/>
  <c r="W352" i="9"/>
  <c r="V339" i="9"/>
  <c r="W339" i="9"/>
  <c r="V336" i="9"/>
  <c r="W336" i="9"/>
  <c r="V323" i="9"/>
  <c r="W323" i="9"/>
  <c r="V320" i="9"/>
  <c r="W320" i="9"/>
  <c r="V307" i="9"/>
  <c r="W307" i="9"/>
  <c r="V304" i="9"/>
  <c r="W304" i="9"/>
  <c r="V291" i="9"/>
  <c r="W291" i="9"/>
  <c r="V288" i="9"/>
  <c r="W288" i="9"/>
  <c r="V275" i="9"/>
  <c r="W275" i="9"/>
  <c r="V272" i="9"/>
  <c r="W272" i="9"/>
  <c r="V259" i="9"/>
  <c r="W259" i="9"/>
  <c r="V256" i="9"/>
  <c r="W256" i="9"/>
  <c r="V243" i="9"/>
  <c r="W243" i="9"/>
  <c r="V240" i="9"/>
  <c r="W240" i="9"/>
  <c r="V227" i="9"/>
  <c r="W227" i="9"/>
  <c r="V224" i="9"/>
  <c r="W224" i="9"/>
  <c r="V211" i="9"/>
  <c r="W211" i="9"/>
  <c r="V208" i="9"/>
  <c r="W208" i="9"/>
  <c r="V195" i="9"/>
  <c r="W195" i="9"/>
  <c r="V179" i="9"/>
  <c r="W179" i="9"/>
  <c r="Y325" i="9"/>
  <c r="Z325" i="9" s="1"/>
  <c r="P325" i="9" s="1"/>
  <c r="AD325" i="9" s="1"/>
  <c r="Y261" i="9"/>
  <c r="Z261" i="9" s="1"/>
  <c r="P261" i="9" s="1"/>
  <c r="AD261" i="9" s="1"/>
  <c r="Y229" i="9"/>
  <c r="Z229" i="9" s="1"/>
  <c r="P229" i="9" s="1"/>
  <c r="AD229" i="9" s="1"/>
  <c r="Y197" i="9"/>
  <c r="Z197" i="9" s="1"/>
  <c r="P197" i="9" s="1"/>
  <c r="AD197" i="9" s="1"/>
  <c r="Y165" i="9"/>
  <c r="Z165" i="9" s="1"/>
  <c r="P165" i="9" s="1"/>
  <c r="AD165" i="9" s="1"/>
  <c r="V35" i="9"/>
  <c r="W35" i="9"/>
  <c r="Z321" i="9"/>
  <c r="P321" i="9" s="1"/>
  <c r="AD321" i="9" s="1"/>
  <c r="V363" i="9"/>
  <c r="W363" i="9"/>
  <c r="V360" i="9"/>
  <c r="W360" i="9"/>
  <c r="V347" i="9"/>
  <c r="W347" i="9"/>
  <c r="V344" i="9"/>
  <c r="W344" i="9"/>
  <c r="V331" i="9"/>
  <c r="W331" i="9"/>
  <c r="V328" i="9"/>
  <c r="W328" i="9"/>
  <c r="V315" i="9"/>
  <c r="W315" i="9"/>
  <c r="V312" i="9"/>
  <c r="W312" i="9"/>
  <c r="V299" i="9"/>
  <c r="W299" i="9"/>
  <c r="V296" i="9"/>
  <c r="W296" i="9"/>
  <c r="V283" i="9"/>
  <c r="W283" i="9"/>
  <c r="V280" i="9"/>
  <c r="W280" i="9"/>
  <c r="V267" i="9"/>
  <c r="W267" i="9"/>
  <c r="V264" i="9"/>
  <c r="W264" i="9"/>
  <c r="V251" i="9"/>
  <c r="W251" i="9"/>
  <c r="V248" i="9"/>
  <c r="W248" i="9"/>
  <c r="V235" i="9"/>
  <c r="W235" i="9"/>
  <c r="V232" i="9"/>
  <c r="W232" i="9"/>
  <c r="V219" i="9"/>
  <c r="W219" i="9"/>
  <c r="V216" i="9"/>
  <c r="W216" i="9"/>
  <c r="V203" i="9"/>
  <c r="W203" i="9"/>
  <c r="V187" i="9"/>
  <c r="W187" i="9"/>
  <c r="V171" i="9"/>
  <c r="W171" i="9"/>
  <c r="Y269" i="9"/>
  <c r="Z269" i="9" s="1"/>
  <c r="P269" i="9" s="1"/>
  <c r="AD269" i="9" s="1"/>
  <c r="Y253" i="9"/>
  <c r="Z253" i="9" s="1"/>
  <c r="P253" i="9" s="1"/>
  <c r="AD253" i="9" s="1"/>
  <c r="Y237" i="9"/>
  <c r="Z237" i="9" s="1"/>
  <c r="P237" i="9" s="1"/>
  <c r="AD237" i="9" s="1"/>
  <c r="Y221" i="9"/>
  <c r="Z221" i="9" s="1"/>
  <c r="P221" i="9" s="1"/>
  <c r="AD221" i="9" s="1"/>
  <c r="Y205" i="9"/>
  <c r="Z205" i="9" s="1"/>
  <c r="P205" i="9" s="1"/>
  <c r="AD205" i="9" s="1"/>
  <c r="Y189" i="9"/>
  <c r="Z189" i="9" s="1"/>
  <c r="P189" i="9" s="1"/>
  <c r="AD189" i="9" s="1"/>
  <c r="Y173" i="9"/>
  <c r="Z173" i="9" s="1"/>
  <c r="P173" i="9" s="1"/>
  <c r="AD173" i="9" s="1"/>
  <c r="V366" i="9"/>
  <c r="W366" i="9"/>
  <c r="V358" i="9"/>
  <c r="W358" i="9"/>
  <c r="V350" i="9"/>
  <c r="W350" i="9"/>
  <c r="V342" i="9"/>
  <c r="W342" i="9"/>
  <c r="V334" i="9"/>
  <c r="W334" i="9"/>
  <c r="V326" i="9"/>
  <c r="W326" i="9"/>
  <c r="V318" i="9"/>
  <c r="W318" i="9"/>
  <c r="V310" i="9"/>
  <c r="W310" i="9"/>
  <c r="V302" i="9"/>
  <c r="W302" i="9"/>
  <c r="V294" i="9"/>
  <c r="W294" i="9"/>
  <c r="V286" i="9"/>
  <c r="W286" i="9"/>
  <c r="V278" i="9"/>
  <c r="W278" i="9"/>
  <c r="V270" i="9"/>
  <c r="W270" i="9"/>
  <c r="V262" i="9"/>
  <c r="W262" i="9"/>
  <c r="V254" i="9"/>
  <c r="W254" i="9"/>
  <c r="V246" i="9"/>
  <c r="W246" i="9"/>
  <c r="V238" i="9"/>
  <c r="W238" i="9"/>
  <c r="V230" i="9"/>
  <c r="W230" i="9"/>
  <c r="V222" i="9"/>
  <c r="W222" i="9"/>
  <c r="V214" i="9"/>
  <c r="W214" i="9"/>
  <c r="V370" i="9"/>
  <c r="W370" i="9"/>
  <c r="W367" i="9"/>
  <c r="Y367" i="9" s="1"/>
  <c r="Z367" i="9" s="1"/>
  <c r="P367" i="9" s="1"/>
  <c r="AD367" i="9" s="1"/>
  <c r="V362" i="9"/>
  <c r="Y362" i="9" s="1"/>
  <c r="Z362" i="9" s="1"/>
  <c r="P362" i="9" s="1"/>
  <c r="AD362" i="9" s="1"/>
  <c r="W362" i="9"/>
  <c r="W359" i="9"/>
  <c r="Y359" i="9" s="1"/>
  <c r="Z359" i="9" s="1"/>
  <c r="P359" i="9" s="1"/>
  <c r="AD359" i="9" s="1"/>
  <c r="V354" i="9"/>
  <c r="W354" i="9"/>
  <c r="W351" i="9"/>
  <c r="Y351" i="9" s="1"/>
  <c r="Z351" i="9" s="1"/>
  <c r="P351" i="9" s="1"/>
  <c r="AD351" i="9" s="1"/>
  <c r="V346" i="9"/>
  <c r="W346" i="9"/>
  <c r="W343" i="9"/>
  <c r="Y343" i="9" s="1"/>
  <c r="Z343" i="9" s="1"/>
  <c r="P343" i="9" s="1"/>
  <c r="AD343" i="9" s="1"/>
  <c r="V338" i="9"/>
  <c r="W338" i="9"/>
  <c r="W335" i="9"/>
  <c r="Y335" i="9" s="1"/>
  <c r="Z335" i="9" s="1"/>
  <c r="P335" i="9" s="1"/>
  <c r="AD335" i="9" s="1"/>
  <c r="V330" i="9"/>
  <c r="Y330" i="9" s="1"/>
  <c r="Z330" i="9" s="1"/>
  <c r="P330" i="9" s="1"/>
  <c r="AD330" i="9" s="1"/>
  <c r="W330" i="9"/>
  <c r="W327" i="9"/>
  <c r="Y327" i="9" s="1"/>
  <c r="Z327" i="9" s="1"/>
  <c r="P327" i="9" s="1"/>
  <c r="AD327" i="9" s="1"/>
  <c r="V322" i="9"/>
  <c r="W322" i="9"/>
  <c r="W319" i="9"/>
  <c r="Y319" i="9" s="1"/>
  <c r="Z319" i="9" s="1"/>
  <c r="P319" i="9" s="1"/>
  <c r="AD319" i="9" s="1"/>
  <c r="V314" i="9"/>
  <c r="W314" i="9"/>
  <c r="W311" i="9"/>
  <c r="Y311" i="9" s="1"/>
  <c r="Z311" i="9" s="1"/>
  <c r="P311" i="9" s="1"/>
  <c r="AD311" i="9" s="1"/>
  <c r="V306" i="9"/>
  <c r="W306" i="9"/>
  <c r="W303" i="9"/>
  <c r="Y303" i="9" s="1"/>
  <c r="Z303" i="9" s="1"/>
  <c r="P303" i="9" s="1"/>
  <c r="AD303" i="9" s="1"/>
  <c r="V298" i="9"/>
  <c r="Y298" i="9" s="1"/>
  <c r="Z298" i="9" s="1"/>
  <c r="P298" i="9" s="1"/>
  <c r="AD298" i="9" s="1"/>
  <c r="W298" i="9"/>
  <c r="W295" i="9"/>
  <c r="Y295" i="9" s="1"/>
  <c r="Z295" i="9" s="1"/>
  <c r="P295" i="9" s="1"/>
  <c r="AD295" i="9" s="1"/>
  <c r="V290" i="9"/>
  <c r="W290" i="9"/>
  <c r="W287" i="9"/>
  <c r="Y287" i="9" s="1"/>
  <c r="Z287" i="9" s="1"/>
  <c r="P287" i="9" s="1"/>
  <c r="AD287" i="9" s="1"/>
  <c r="V282" i="9"/>
  <c r="W282" i="9"/>
  <c r="W279" i="9"/>
  <c r="Y279" i="9" s="1"/>
  <c r="Z279" i="9" s="1"/>
  <c r="P279" i="9" s="1"/>
  <c r="AD279" i="9" s="1"/>
  <c r="V274" i="9"/>
  <c r="W274" i="9"/>
  <c r="W271" i="9"/>
  <c r="Y271" i="9" s="1"/>
  <c r="Z271" i="9" s="1"/>
  <c r="P271" i="9" s="1"/>
  <c r="AD271" i="9" s="1"/>
  <c r="V266" i="9"/>
  <c r="Y266" i="9" s="1"/>
  <c r="Z266" i="9" s="1"/>
  <c r="P266" i="9" s="1"/>
  <c r="AD266" i="9" s="1"/>
  <c r="W266" i="9"/>
  <c r="W263" i="9"/>
  <c r="Y263" i="9" s="1"/>
  <c r="Z263" i="9" s="1"/>
  <c r="P263" i="9" s="1"/>
  <c r="AD263" i="9" s="1"/>
  <c r="V258" i="9"/>
  <c r="W258" i="9"/>
  <c r="W255" i="9"/>
  <c r="Y255" i="9" s="1"/>
  <c r="Z255" i="9" s="1"/>
  <c r="P255" i="9" s="1"/>
  <c r="AD255" i="9" s="1"/>
  <c r="V250" i="9"/>
  <c r="W250" i="9"/>
  <c r="W247" i="9"/>
  <c r="Y247" i="9" s="1"/>
  <c r="Z247" i="9" s="1"/>
  <c r="P247" i="9" s="1"/>
  <c r="AD247" i="9" s="1"/>
  <c r="V242" i="9"/>
  <c r="W242" i="9"/>
  <c r="W239" i="9"/>
  <c r="Y239" i="9" s="1"/>
  <c r="Z239" i="9" s="1"/>
  <c r="P239" i="9" s="1"/>
  <c r="AD239" i="9" s="1"/>
  <c r="V234" i="9"/>
  <c r="Y234" i="9" s="1"/>
  <c r="Z234" i="9" s="1"/>
  <c r="P234" i="9" s="1"/>
  <c r="AD234" i="9" s="1"/>
  <c r="W234" i="9"/>
  <c r="W231" i="9"/>
  <c r="Y231" i="9" s="1"/>
  <c r="Z231" i="9" s="1"/>
  <c r="P231" i="9" s="1"/>
  <c r="AD231" i="9" s="1"/>
  <c r="V226" i="9"/>
  <c r="W226" i="9"/>
  <c r="W223" i="9"/>
  <c r="Y223" i="9" s="1"/>
  <c r="Z223" i="9" s="1"/>
  <c r="P223" i="9" s="1"/>
  <c r="AD223" i="9" s="1"/>
  <c r="V218" i="9"/>
  <c r="W218" i="9"/>
  <c r="W215" i="9"/>
  <c r="Y215" i="9" s="1"/>
  <c r="Z215" i="9" s="1"/>
  <c r="P215" i="9" s="1"/>
  <c r="AD215" i="9" s="1"/>
  <c r="V210" i="9"/>
  <c r="W210" i="9"/>
  <c r="W207" i="9"/>
  <c r="Y207" i="9" s="1"/>
  <c r="Z207" i="9" s="1"/>
  <c r="P207" i="9" s="1"/>
  <c r="AD207" i="9" s="1"/>
  <c r="W199" i="9"/>
  <c r="Y199" i="9" s="1"/>
  <c r="Z199" i="9" s="1"/>
  <c r="P199" i="9" s="1"/>
  <c r="AD199" i="9" s="1"/>
  <c r="W191" i="9"/>
  <c r="Y191" i="9" s="1"/>
  <c r="Z191" i="9" s="1"/>
  <c r="P191" i="9" s="1"/>
  <c r="AD191" i="9" s="1"/>
  <c r="W183" i="9"/>
  <c r="Y183" i="9" s="1"/>
  <c r="Z183" i="9" s="1"/>
  <c r="P183" i="9" s="1"/>
  <c r="AD183" i="9" s="1"/>
  <c r="W175" i="9"/>
  <c r="Y175" i="9" s="1"/>
  <c r="Z175" i="9" s="1"/>
  <c r="P175" i="9" s="1"/>
  <c r="AD175" i="9" s="1"/>
  <c r="W167" i="9"/>
  <c r="Y167" i="9" s="1"/>
  <c r="Z167" i="9" s="1"/>
  <c r="P167" i="9" s="1"/>
  <c r="AD167" i="9" s="1"/>
  <c r="V51" i="9"/>
  <c r="W51" i="9"/>
  <c r="V364" i="9"/>
  <c r="W364" i="9"/>
  <c r="V356" i="9"/>
  <c r="W356" i="9"/>
  <c r="V348" i="9"/>
  <c r="W348" i="9"/>
  <c r="V340" i="9"/>
  <c r="W340" i="9"/>
  <c r="V332" i="9"/>
  <c r="W332" i="9"/>
  <c r="V324" i="9"/>
  <c r="W324" i="9"/>
  <c r="V316" i="9"/>
  <c r="W316" i="9"/>
  <c r="V308" i="9"/>
  <c r="W308" i="9"/>
  <c r="V300" i="9"/>
  <c r="W300" i="9"/>
  <c r="V292" i="9"/>
  <c r="W292" i="9"/>
  <c r="V284" i="9"/>
  <c r="W284" i="9"/>
  <c r="V276" i="9"/>
  <c r="W276" i="9"/>
  <c r="V268" i="9"/>
  <c r="W268" i="9"/>
  <c r="V260" i="9"/>
  <c r="W260" i="9"/>
  <c r="V252" i="9"/>
  <c r="W252" i="9"/>
  <c r="V244" i="9"/>
  <c r="W244" i="9"/>
  <c r="V236" i="9"/>
  <c r="W236" i="9"/>
  <c r="V228" i="9"/>
  <c r="W228" i="9"/>
  <c r="V220" i="9"/>
  <c r="W220" i="9"/>
  <c r="V212" i="9"/>
  <c r="W212" i="9"/>
  <c r="Y89" i="9"/>
  <c r="Z89" i="9" s="1"/>
  <c r="P89" i="9" s="1"/>
  <c r="AD89" i="9" s="1"/>
  <c r="Y81" i="9"/>
  <c r="Z81" i="9" s="1"/>
  <c r="P81" i="9" s="1"/>
  <c r="AD81" i="9" s="1"/>
  <c r="Y73" i="9"/>
  <c r="Z73" i="9" s="1"/>
  <c r="P73" i="9" s="1"/>
  <c r="AD73" i="9" s="1"/>
  <c r="Y69" i="9"/>
  <c r="Z69" i="9" s="1"/>
  <c r="P69" i="9" s="1"/>
  <c r="AD69" i="9" s="1"/>
  <c r="Y65" i="9"/>
  <c r="Z65" i="9" s="1"/>
  <c r="P65" i="9" s="1"/>
  <c r="AD65" i="9" s="1"/>
  <c r="Y61" i="9"/>
  <c r="Z61" i="9" s="1"/>
  <c r="P61" i="9" s="1"/>
  <c r="AD61" i="9" s="1"/>
  <c r="Y57" i="9"/>
  <c r="Z57" i="9" s="1"/>
  <c r="P57" i="9" s="1"/>
  <c r="AD57" i="9" s="1"/>
  <c r="Y43" i="9"/>
  <c r="Z43" i="9" s="1"/>
  <c r="P43" i="9" s="1"/>
  <c r="AD43" i="9" s="1"/>
  <c r="W206" i="9"/>
  <c r="Y206" i="9" s="1"/>
  <c r="Z206" i="9" s="1"/>
  <c r="P206" i="9" s="1"/>
  <c r="AD206" i="9" s="1"/>
  <c r="W204" i="9"/>
  <c r="Y204" i="9" s="1"/>
  <c r="Z204" i="9" s="1"/>
  <c r="P204" i="9" s="1"/>
  <c r="AD204" i="9" s="1"/>
  <c r="W202" i="9"/>
  <c r="Y202" i="9" s="1"/>
  <c r="Z202" i="9" s="1"/>
  <c r="P202" i="9" s="1"/>
  <c r="AD202" i="9" s="1"/>
  <c r="W200" i="9"/>
  <c r="Y200" i="9" s="1"/>
  <c r="Z200" i="9" s="1"/>
  <c r="P200" i="9" s="1"/>
  <c r="AD200" i="9" s="1"/>
  <c r="W198" i="9"/>
  <c r="Y198" i="9" s="1"/>
  <c r="Z198" i="9" s="1"/>
  <c r="P198" i="9" s="1"/>
  <c r="AD198" i="9" s="1"/>
  <c r="W196" i="9"/>
  <c r="Y196" i="9" s="1"/>
  <c r="Z196" i="9" s="1"/>
  <c r="P196" i="9" s="1"/>
  <c r="AD196" i="9" s="1"/>
  <c r="W194" i="9"/>
  <c r="Y194" i="9" s="1"/>
  <c r="Z194" i="9" s="1"/>
  <c r="P194" i="9" s="1"/>
  <c r="AD194" i="9" s="1"/>
  <c r="W192" i="9"/>
  <c r="Y192" i="9" s="1"/>
  <c r="Z192" i="9" s="1"/>
  <c r="P192" i="9" s="1"/>
  <c r="AD192" i="9" s="1"/>
  <c r="W190" i="9"/>
  <c r="Y190" i="9" s="1"/>
  <c r="Z190" i="9" s="1"/>
  <c r="P190" i="9" s="1"/>
  <c r="AD190" i="9" s="1"/>
  <c r="W188" i="9"/>
  <c r="Y188" i="9" s="1"/>
  <c r="Z188" i="9" s="1"/>
  <c r="P188" i="9" s="1"/>
  <c r="AD188" i="9" s="1"/>
  <c r="W186" i="9"/>
  <c r="Y186" i="9" s="1"/>
  <c r="Z186" i="9" s="1"/>
  <c r="P186" i="9" s="1"/>
  <c r="AD186" i="9" s="1"/>
  <c r="W184" i="9"/>
  <c r="Y184" i="9" s="1"/>
  <c r="Z184" i="9" s="1"/>
  <c r="P184" i="9" s="1"/>
  <c r="AD184" i="9" s="1"/>
  <c r="W182" i="9"/>
  <c r="Y182" i="9" s="1"/>
  <c r="Z182" i="9" s="1"/>
  <c r="P182" i="9" s="1"/>
  <c r="AD182" i="9" s="1"/>
  <c r="W180" i="9"/>
  <c r="Y180" i="9" s="1"/>
  <c r="Z180" i="9" s="1"/>
  <c r="P180" i="9" s="1"/>
  <c r="AD180" i="9" s="1"/>
  <c r="W178" i="9"/>
  <c r="Y178" i="9" s="1"/>
  <c r="Z178" i="9" s="1"/>
  <c r="P178" i="9" s="1"/>
  <c r="AD178" i="9" s="1"/>
  <c r="W176" i="9"/>
  <c r="Y176" i="9" s="1"/>
  <c r="Z176" i="9" s="1"/>
  <c r="P176" i="9" s="1"/>
  <c r="AD176" i="9" s="1"/>
  <c r="W174" i="9"/>
  <c r="Y174" i="9" s="1"/>
  <c r="Z174" i="9" s="1"/>
  <c r="P174" i="9" s="1"/>
  <c r="AD174" i="9" s="1"/>
  <c r="W172" i="9"/>
  <c r="Y172" i="9" s="1"/>
  <c r="Z172" i="9" s="1"/>
  <c r="P172" i="9" s="1"/>
  <c r="AD172" i="9" s="1"/>
  <c r="W170" i="9"/>
  <c r="Y170" i="9" s="1"/>
  <c r="Z170" i="9" s="1"/>
  <c r="P170" i="9" s="1"/>
  <c r="AD170" i="9" s="1"/>
  <c r="W168" i="9"/>
  <c r="Y168" i="9" s="1"/>
  <c r="Z168" i="9" s="1"/>
  <c r="P168" i="9" s="1"/>
  <c r="AD168" i="9" s="1"/>
  <c r="W166" i="9"/>
  <c r="Y166" i="9" s="1"/>
  <c r="Z166" i="9" s="1"/>
  <c r="P166" i="9" s="1"/>
  <c r="AD166" i="9" s="1"/>
  <c r="W164" i="9"/>
  <c r="Y164" i="9" s="1"/>
  <c r="Z164" i="9" s="1"/>
  <c r="P164" i="9" s="1"/>
  <c r="AD164" i="9" s="1"/>
  <c r="W162" i="9"/>
  <c r="Y162" i="9" s="1"/>
  <c r="Z162" i="9" s="1"/>
  <c r="P162" i="9" s="1"/>
  <c r="AD162" i="9" s="1"/>
  <c r="W160" i="9"/>
  <c r="Y160" i="9" s="1"/>
  <c r="Z160" i="9" s="1"/>
  <c r="P160" i="9" s="1"/>
  <c r="AD160" i="9" s="1"/>
  <c r="W158" i="9"/>
  <c r="Y158" i="9" s="1"/>
  <c r="Z158" i="9" s="1"/>
  <c r="P158" i="9" s="1"/>
  <c r="AD158" i="9" s="1"/>
  <c r="W156" i="9"/>
  <c r="Y156" i="9" s="1"/>
  <c r="Z156" i="9" s="1"/>
  <c r="P156" i="9" s="1"/>
  <c r="AD156" i="9" s="1"/>
  <c r="W154" i="9"/>
  <c r="Y154" i="9" s="1"/>
  <c r="Z154" i="9" s="1"/>
  <c r="P154" i="9" s="1"/>
  <c r="AD154" i="9" s="1"/>
  <c r="W152" i="9"/>
  <c r="Y152" i="9" s="1"/>
  <c r="Z152" i="9" s="1"/>
  <c r="P152" i="9" s="1"/>
  <c r="AD152" i="9" s="1"/>
  <c r="W150" i="9"/>
  <c r="Y150" i="9" s="1"/>
  <c r="Z150" i="9" s="1"/>
  <c r="P150" i="9" s="1"/>
  <c r="AD150" i="9" s="1"/>
  <c r="W148" i="9"/>
  <c r="Y148" i="9" s="1"/>
  <c r="Z148" i="9" s="1"/>
  <c r="P148" i="9" s="1"/>
  <c r="AD148" i="9" s="1"/>
  <c r="W146" i="9"/>
  <c r="Y146" i="9" s="1"/>
  <c r="Z146" i="9" s="1"/>
  <c r="P146" i="9" s="1"/>
  <c r="AD146" i="9" s="1"/>
  <c r="W144" i="9"/>
  <c r="Y144" i="9" s="1"/>
  <c r="Z144" i="9" s="1"/>
  <c r="P144" i="9" s="1"/>
  <c r="AD144" i="9" s="1"/>
  <c r="W142" i="9"/>
  <c r="Y142" i="9" s="1"/>
  <c r="Z142" i="9" s="1"/>
  <c r="P142" i="9" s="1"/>
  <c r="AD142" i="9" s="1"/>
  <c r="W140" i="9"/>
  <c r="Y140" i="9" s="1"/>
  <c r="Z140" i="9" s="1"/>
  <c r="P140" i="9" s="1"/>
  <c r="AD140" i="9" s="1"/>
  <c r="W138" i="9"/>
  <c r="Y138" i="9" s="1"/>
  <c r="Z138" i="9" s="1"/>
  <c r="P138" i="9" s="1"/>
  <c r="AD138" i="9" s="1"/>
  <c r="W136" i="9"/>
  <c r="Y136" i="9" s="1"/>
  <c r="Z136" i="9" s="1"/>
  <c r="P136" i="9" s="1"/>
  <c r="AD136" i="9" s="1"/>
  <c r="W134" i="9"/>
  <c r="Y134" i="9" s="1"/>
  <c r="Z134" i="9" s="1"/>
  <c r="P134" i="9" s="1"/>
  <c r="AD134" i="9" s="1"/>
  <c r="W132" i="9"/>
  <c r="Y132" i="9" s="1"/>
  <c r="Z132" i="9" s="1"/>
  <c r="P132" i="9" s="1"/>
  <c r="AD132" i="9" s="1"/>
  <c r="W130" i="9"/>
  <c r="Y130" i="9" s="1"/>
  <c r="Z130" i="9" s="1"/>
  <c r="P130" i="9" s="1"/>
  <c r="AD130" i="9" s="1"/>
  <c r="W128" i="9"/>
  <c r="Y128" i="9" s="1"/>
  <c r="Z128" i="9" s="1"/>
  <c r="P128" i="9" s="1"/>
  <c r="AD128" i="9" s="1"/>
  <c r="W126" i="9"/>
  <c r="Y126" i="9" s="1"/>
  <c r="Z126" i="9" s="1"/>
  <c r="P126" i="9" s="1"/>
  <c r="AD126" i="9" s="1"/>
  <c r="W124" i="9"/>
  <c r="Y124" i="9" s="1"/>
  <c r="Z124" i="9" s="1"/>
  <c r="P124" i="9" s="1"/>
  <c r="AD124" i="9" s="1"/>
  <c r="W122" i="9"/>
  <c r="Y122" i="9" s="1"/>
  <c r="Z122" i="9" s="1"/>
  <c r="P122" i="9" s="1"/>
  <c r="AD122" i="9" s="1"/>
  <c r="W120" i="9"/>
  <c r="Y120" i="9" s="1"/>
  <c r="Z120" i="9" s="1"/>
  <c r="P120" i="9" s="1"/>
  <c r="AD120" i="9" s="1"/>
  <c r="W118" i="9"/>
  <c r="Y118" i="9" s="1"/>
  <c r="Z118" i="9" s="1"/>
  <c r="P118" i="9" s="1"/>
  <c r="AD118" i="9" s="1"/>
  <c r="W116" i="9"/>
  <c r="Y116" i="9" s="1"/>
  <c r="Z116" i="9" s="1"/>
  <c r="P116" i="9" s="1"/>
  <c r="AD116" i="9" s="1"/>
  <c r="W114" i="9"/>
  <c r="Y114" i="9" s="1"/>
  <c r="Z114" i="9" s="1"/>
  <c r="P114" i="9" s="1"/>
  <c r="AD114" i="9" s="1"/>
  <c r="W112" i="9"/>
  <c r="Y112" i="9" s="1"/>
  <c r="Z112" i="9" s="1"/>
  <c r="P112" i="9" s="1"/>
  <c r="AD112" i="9" s="1"/>
  <c r="W110" i="9"/>
  <c r="Y110" i="9" s="1"/>
  <c r="Z110" i="9" s="1"/>
  <c r="P110" i="9" s="1"/>
  <c r="AD110" i="9" s="1"/>
  <c r="W108" i="9"/>
  <c r="Y108" i="9" s="1"/>
  <c r="Z108" i="9" s="1"/>
  <c r="P108" i="9" s="1"/>
  <c r="AD108" i="9" s="1"/>
  <c r="W106" i="9"/>
  <c r="Y106" i="9" s="1"/>
  <c r="Z106" i="9" s="1"/>
  <c r="P106" i="9" s="1"/>
  <c r="AD106" i="9" s="1"/>
  <c r="W104" i="9"/>
  <c r="Y104" i="9" s="1"/>
  <c r="Z104" i="9" s="1"/>
  <c r="P104" i="9" s="1"/>
  <c r="AD104" i="9" s="1"/>
  <c r="W102" i="9"/>
  <c r="Y102" i="9" s="1"/>
  <c r="Z102" i="9" s="1"/>
  <c r="P102" i="9" s="1"/>
  <c r="AD102" i="9" s="1"/>
  <c r="W100" i="9"/>
  <c r="Y100" i="9" s="1"/>
  <c r="Z100" i="9" s="1"/>
  <c r="P100" i="9" s="1"/>
  <c r="AD100" i="9" s="1"/>
  <c r="W98" i="9"/>
  <c r="Y98" i="9" s="1"/>
  <c r="Z98" i="9" s="1"/>
  <c r="P98" i="9" s="1"/>
  <c r="AD98" i="9" s="1"/>
  <c r="W96" i="9"/>
  <c r="Y96" i="9" s="1"/>
  <c r="Z96" i="9" s="1"/>
  <c r="P96" i="9" s="1"/>
  <c r="AD96" i="9" s="1"/>
  <c r="W94" i="9"/>
  <c r="Y94" i="9" s="1"/>
  <c r="Z94" i="9" s="1"/>
  <c r="P94" i="9" s="1"/>
  <c r="AD94" i="9" s="1"/>
  <c r="W92" i="9"/>
  <c r="Y92" i="9" s="1"/>
  <c r="Z92" i="9" s="1"/>
  <c r="P92" i="9" s="1"/>
  <c r="AD92" i="9" s="1"/>
  <c r="W90" i="9"/>
  <c r="Y90" i="9" s="1"/>
  <c r="Z90" i="9" s="1"/>
  <c r="P90" i="9" s="1"/>
  <c r="AD90" i="9" s="1"/>
  <c r="W88" i="9"/>
  <c r="Y88" i="9" s="1"/>
  <c r="Z88" i="9" s="1"/>
  <c r="P88" i="9" s="1"/>
  <c r="AD88" i="9" s="1"/>
  <c r="W86" i="9"/>
  <c r="Y86" i="9" s="1"/>
  <c r="Z86" i="9" s="1"/>
  <c r="P86" i="9" s="1"/>
  <c r="AD86" i="9" s="1"/>
  <c r="W84" i="9"/>
  <c r="Y84" i="9" s="1"/>
  <c r="Z84" i="9" s="1"/>
  <c r="P84" i="9" s="1"/>
  <c r="AD84" i="9" s="1"/>
  <c r="W82" i="9"/>
  <c r="Y82" i="9" s="1"/>
  <c r="Z82" i="9" s="1"/>
  <c r="P82" i="9" s="1"/>
  <c r="AD82" i="9" s="1"/>
  <c r="W80" i="9"/>
  <c r="Y80" i="9" s="1"/>
  <c r="Z80" i="9" s="1"/>
  <c r="P80" i="9" s="1"/>
  <c r="AD80" i="9" s="1"/>
  <c r="W78" i="9"/>
  <c r="Y78" i="9" s="1"/>
  <c r="Z78" i="9" s="1"/>
  <c r="P78" i="9" s="1"/>
  <c r="AD78" i="9" s="1"/>
  <c r="W76" i="9"/>
  <c r="Y76" i="9" s="1"/>
  <c r="Z76" i="9" s="1"/>
  <c r="P76" i="9" s="1"/>
  <c r="AD76" i="9" s="1"/>
  <c r="W74" i="9"/>
  <c r="Y74" i="9" s="1"/>
  <c r="Z74" i="9" s="1"/>
  <c r="P74" i="9" s="1"/>
  <c r="AD74" i="9" s="1"/>
  <c r="U16" i="6"/>
  <c r="U8" i="6"/>
  <c r="U10" i="4"/>
  <c r="U20" i="6"/>
  <c r="U21" i="6" s="1"/>
  <c r="N72" i="6"/>
  <c r="N73" i="6" s="1"/>
  <c r="Z6" i="7"/>
  <c r="M72" i="6"/>
  <c r="M73" i="6" s="1"/>
  <c r="Y2" i="9"/>
  <c r="Z2" i="9" s="1"/>
  <c r="P2" i="9" s="1"/>
  <c r="AD2" i="9" s="1"/>
  <c r="W19" i="9"/>
  <c r="Y19" i="9" s="1"/>
  <c r="Z19" i="9" s="1"/>
  <c r="P19" i="9" s="1"/>
  <c r="AD19" i="9" s="1"/>
  <c r="W3" i="9"/>
  <c r="Y3" i="9" s="1"/>
  <c r="Z3" i="9" s="1"/>
  <c r="P3" i="9" s="1"/>
  <c r="AD3" i="9" s="1"/>
  <c r="W29" i="9"/>
  <c r="Y29" i="9" s="1"/>
  <c r="Z29" i="9" s="1"/>
  <c r="P29" i="9" s="1"/>
  <c r="AD29" i="9" s="1"/>
  <c r="W13" i="9"/>
  <c r="Y13" i="9" s="1"/>
  <c r="Z13" i="9" s="1"/>
  <c r="P13" i="9" s="1"/>
  <c r="AD13" i="9" s="1"/>
  <c r="W21" i="9"/>
  <c r="Y21" i="9" s="1"/>
  <c r="Z21" i="9" s="1"/>
  <c r="P21" i="9" s="1"/>
  <c r="AD21" i="9" s="1"/>
  <c r="W5" i="9"/>
  <c r="Y5" i="9" s="1"/>
  <c r="Z5" i="9" s="1"/>
  <c r="P5" i="9" s="1"/>
  <c r="AD5" i="9" s="1"/>
  <c r="W27" i="9"/>
  <c r="Y27" i="9" s="1"/>
  <c r="Z27" i="9" s="1"/>
  <c r="P27" i="9" s="1"/>
  <c r="AD27" i="9" s="1"/>
  <c r="W11" i="9"/>
  <c r="Y11" i="9" s="1"/>
  <c r="Z11" i="9" s="1"/>
  <c r="P11" i="9" s="1"/>
  <c r="AD11" i="9" s="1"/>
  <c r="U11" i="6"/>
  <c r="U10" i="6"/>
  <c r="U17" i="6"/>
  <c r="U13" i="6"/>
  <c r="U14" i="6"/>
  <c r="N72" i="5"/>
  <c r="N73" i="5" s="1"/>
  <c r="U13" i="5"/>
  <c r="U11" i="5"/>
  <c r="U20" i="5"/>
  <c r="U21" i="5" s="1"/>
  <c r="U16" i="5"/>
  <c r="U17" i="5"/>
  <c r="U10" i="5"/>
  <c r="U8" i="5"/>
  <c r="U14" i="5"/>
  <c r="M72" i="5"/>
  <c r="M73" i="5" s="1"/>
  <c r="U8" i="4"/>
  <c r="U20" i="4"/>
  <c r="U21" i="4" s="1"/>
  <c r="N72" i="4"/>
  <c r="N73" i="4" s="1"/>
  <c r="U14" i="4"/>
  <c r="U17" i="4"/>
  <c r="M72" i="4"/>
  <c r="M73" i="4" s="1"/>
  <c r="U11" i="4"/>
  <c r="U16" i="4"/>
  <c r="U13" i="4"/>
  <c r="L32" i="12"/>
  <c r="M32" i="12" s="1"/>
  <c r="N32" i="12" s="1"/>
  <c r="O32" i="12" s="1"/>
  <c r="P32" i="12" s="1"/>
  <c r="Q32" i="12" s="1"/>
  <c r="R32" i="12" s="1"/>
  <c r="S32" i="12" s="1"/>
  <c r="T32" i="12" s="1"/>
  <c r="U32" i="12" s="1"/>
  <c r="U20" i="1"/>
  <c r="N72" i="1"/>
  <c r="N73" i="1" s="1"/>
  <c r="U16" i="1"/>
  <c r="M72" i="1"/>
  <c r="M73" i="1" s="1"/>
  <c r="U13" i="1"/>
  <c r="U11" i="1"/>
  <c r="U10" i="1"/>
  <c r="U14" i="1"/>
  <c r="U17" i="1"/>
  <c r="U8" i="1"/>
  <c r="U2" i="7"/>
  <c r="AA11" i="7" s="1"/>
  <c r="T2" i="7"/>
  <c r="Z11" i="7" s="1"/>
  <c r="G2" i="7"/>
  <c r="AA9" i="7" s="1"/>
  <c r="F2" i="7"/>
  <c r="Z9" i="7" s="1"/>
  <c r="W49" i="9"/>
  <c r="Y49" i="9" s="1"/>
  <c r="Z49" i="9" s="1"/>
  <c r="P49" i="9" s="1"/>
  <c r="AD49" i="9" s="1"/>
  <c r="W41" i="9"/>
  <c r="Y41" i="9" s="1"/>
  <c r="Z41" i="9" s="1"/>
  <c r="P41" i="9" s="1"/>
  <c r="AD41" i="9" s="1"/>
  <c r="W33" i="9"/>
  <c r="Y33" i="9" s="1"/>
  <c r="Z33" i="9" s="1"/>
  <c r="P33" i="9" s="1"/>
  <c r="AD33" i="9" s="1"/>
  <c r="W25" i="9"/>
  <c r="Y25" i="9" s="1"/>
  <c r="Z25" i="9" s="1"/>
  <c r="P25" i="9" s="1"/>
  <c r="AD25" i="9" s="1"/>
  <c r="W17" i="9"/>
  <c r="Y17" i="9" s="1"/>
  <c r="Z17" i="9" s="1"/>
  <c r="P17" i="9" s="1"/>
  <c r="AD17" i="9" s="1"/>
  <c r="W9" i="9"/>
  <c r="Y9" i="9" s="1"/>
  <c r="Z9" i="9" s="1"/>
  <c r="P9" i="9" s="1"/>
  <c r="AD9" i="9" s="1"/>
  <c r="Y53" i="9"/>
  <c r="Z53" i="9" s="1"/>
  <c r="P53" i="9" s="1"/>
  <c r="AD53" i="9" s="1"/>
  <c r="Y45" i="9"/>
  <c r="Z45" i="9" s="1"/>
  <c r="P45" i="9" s="1"/>
  <c r="AD45" i="9" s="1"/>
  <c r="Y37" i="9"/>
  <c r="Z37" i="9" s="1"/>
  <c r="P37" i="9" s="1"/>
  <c r="AD37" i="9" s="1"/>
  <c r="W47" i="9"/>
  <c r="Y47" i="9" s="1"/>
  <c r="Z47" i="9" s="1"/>
  <c r="P47" i="9" s="1"/>
  <c r="AD47" i="9" s="1"/>
  <c r="W39" i="9"/>
  <c r="Y39" i="9" s="1"/>
  <c r="Z39" i="9" s="1"/>
  <c r="P39" i="9" s="1"/>
  <c r="AD39" i="9" s="1"/>
  <c r="W31" i="9"/>
  <c r="Y31" i="9" s="1"/>
  <c r="Z31" i="9" s="1"/>
  <c r="P31" i="9" s="1"/>
  <c r="AD31" i="9" s="1"/>
  <c r="W23" i="9"/>
  <c r="Y23" i="9" s="1"/>
  <c r="Z23" i="9" s="1"/>
  <c r="P23" i="9" s="1"/>
  <c r="AD23" i="9" s="1"/>
  <c r="W15" i="9"/>
  <c r="Y15" i="9" s="1"/>
  <c r="Z15" i="9" s="1"/>
  <c r="P15" i="9" s="1"/>
  <c r="AD15" i="9" s="1"/>
  <c r="W7" i="9"/>
  <c r="Y7" i="9" s="1"/>
  <c r="Z7" i="9" s="1"/>
  <c r="P7" i="9" s="1"/>
  <c r="AD7" i="9" s="1"/>
  <c r="M2" i="7"/>
  <c r="AA10" i="7" s="1"/>
  <c r="AJ2" i="7"/>
  <c r="W52" i="9"/>
  <c r="Y52" i="9" s="1"/>
  <c r="Z52" i="9" s="1"/>
  <c r="P52" i="9" s="1"/>
  <c r="AD52" i="9" s="1"/>
  <c r="W50" i="9"/>
  <c r="Y50" i="9" s="1"/>
  <c r="Z50" i="9" s="1"/>
  <c r="P50" i="9" s="1"/>
  <c r="AD50" i="9" s="1"/>
  <c r="W48" i="9"/>
  <c r="Y48" i="9" s="1"/>
  <c r="Z48" i="9" s="1"/>
  <c r="P48" i="9" s="1"/>
  <c r="AD48" i="9" s="1"/>
  <c r="W46" i="9"/>
  <c r="Y46" i="9" s="1"/>
  <c r="Z46" i="9" s="1"/>
  <c r="P46" i="9" s="1"/>
  <c r="AD46" i="9" s="1"/>
  <c r="W44" i="9"/>
  <c r="Y44" i="9" s="1"/>
  <c r="Z44" i="9" s="1"/>
  <c r="P44" i="9" s="1"/>
  <c r="AD44" i="9" s="1"/>
  <c r="W42" i="9"/>
  <c r="Y42" i="9" s="1"/>
  <c r="Z42" i="9" s="1"/>
  <c r="P42" i="9" s="1"/>
  <c r="AD42" i="9" s="1"/>
  <c r="W40" i="9"/>
  <c r="Y40" i="9" s="1"/>
  <c r="Z40" i="9" s="1"/>
  <c r="P40" i="9" s="1"/>
  <c r="AD40" i="9" s="1"/>
  <c r="W38" i="9"/>
  <c r="Y38" i="9" s="1"/>
  <c r="Z38" i="9" s="1"/>
  <c r="P38" i="9" s="1"/>
  <c r="AD38" i="9" s="1"/>
  <c r="W36" i="9"/>
  <c r="Y36" i="9" s="1"/>
  <c r="Z36" i="9" s="1"/>
  <c r="P36" i="9" s="1"/>
  <c r="AD36" i="9" s="1"/>
  <c r="W34" i="9"/>
  <c r="Y34" i="9" s="1"/>
  <c r="Z34" i="9" s="1"/>
  <c r="P34" i="9" s="1"/>
  <c r="AD34" i="9" s="1"/>
  <c r="W32" i="9"/>
  <c r="Y32" i="9" s="1"/>
  <c r="Z32" i="9" s="1"/>
  <c r="P32" i="9" s="1"/>
  <c r="AD32" i="9" s="1"/>
  <c r="W30" i="9"/>
  <c r="Y30" i="9" s="1"/>
  <c r="Z30" i="9" s="1"/>
  <c r="P30" i="9" s="1"/>
  <c r="AD30" i="9" s="1"/>
  <c r="W28" i="9"/>
  <c r="Y28" i="9" s="1"/>
  <c r="Z28" i="9" s="1"/>
  <c r="P28" i="9" s="1"/>
  <c r="AD28" i="9" s="1"/>
  <c r="W26" i="9"/>
  <c r="Y26" i="9" s="1"/>
  <c r="Z26" i="9" s="1"/>
  <c r="P26" i="9" s="1"/>
  <c r="AD26" i="9" s="1"/>
  <c r="W24" i="9"/>
  <c r="Y24" i="9" s="1"/>
  <c r="Z24" i="9" s="1"/>
  <c r="P24" i="9" s="1"/>
  <c r="AD24" i="9" s="1"/>
  <c r="W22" i="9"/>
  <c r="Y22" i="9" s="1"/>
  <c r="Z22" i="9" s="1"/>
  <c r="P22" i="9" s="1"/>
  <c r="AD22" i="9" s="1"/>
  <c r="W20" i="9"/>
  <c r="Y20" i="9" s="1"/>
  <c r="Z20" i="9" s="1"/>
  <c r="P20" i="9" s="1"/>
  <c r="AD20" i="9" s="1"/>
  <c r="W18" i="9"/>
  <c r="Y18" i="9" s="1"/>
  <c r="Z18" i="9" s="1"/>
  <c r="P18" i="9" s="1"/>
  <c r="AD18" i="9" s="1"/>
  <c r="W16" i="9"/>
  <c r="Y16" i="9" s="1"/>
  <c r="Z16" i="9" s="1"/>
  <c r="P16" i="9" s="1"/>
  <c r="AD16" i="9" s="1"/>
  <c r="W14" i="9"/>
  <c r="Y14" i="9" s="1"/>
  <c r="Z14" i="9" s="1"/>
  <c r="P14" i="9" s="1"/>
  <c r="AD14" i="9" s="1"/>
  <c r="W12" i="9"/>
  <c r="Y12" i="9" s="1"/>
  <c r="Z12" i="9" s="1"/>
  <c r="P12" i="9" s="1"/>
  <c r="AD12" i="9" s="1"/>
  <c r="W10" i="9"/>
  <c r="Y10" i="9" s="1"/>
  <c r="Z10" i="9" s="1"/>
  <c r="P10" i="9" s="1"/>
  <c r="AD10" i="9" s="1"/>
  <c r="W8" i="9"/>
  <c r="Y8" i="9" s="1"/>
  <c r="Z8" i="9" s="1"/>
  <c r="P8" i="9" s="1"/>
  <c r="AD8" i="9" s="1"/>
  <c r="W6" i="9"/>
  <c r="Y6" i="9" s="1"/>
  <c r="Z6" i="9" s="1"/>
  <c r="P6" i="9" s="1"/>
  <c r="AD6" i="9" s="1"/>
  <c r="W4" i="9"/>
  <c r="Y4" i="9" s="1"/>
  <c r="Z4" i="9" s="1"/>
  <c r="P4" i="9" s="1"/>
  <c r="AD4" i="9" s="1"/>
  <c r="Y195" i="9" l="1"/>
  <c r="Z195" i="9" s="1"/>
  <c r="P195" i="9" s="1"/>
  <c r="AD195" i="9" s="1"/>
  <c r="Y211" i="9"/>
  <c r="Z211" i="9" s="1"/>
  <c r="P211" i="9" s="1"/>
  <c r="AD211" i="9" s="1"/>
  <c r="Y227" i="9"/>
  <c r="Z227" i="9" s="1"/>
  <c r="P227" i="9" s="1"/>
  <c r="AD227" i="9" s="1"/>
  <c r="Y243" i="9"/>
  <c r="Z243" i="9" s="1"/>
  <c r="P243" i="9" s="1"/>
  <c r="AD243" i="9" s="1"/>
  <c r="Y259" i="9"/>
  <c r="Z259" i="9" s="1"/>
  <c r="P259" i="9" s="1"/>
  <c r="AD259" i="9" s="1"/>
  <c r="Y275" i="9"/>
  <c r="Z275" i="9" s="1"/>
  <c r="P275" i="9" s="1"/>
  <c r="AD275" i="9" s="1"/>
  <c r="Y291" i="9"/>
  <c r="Z291" i="9" s="1"/>
  <c r="P291" i="9" s="1"/>
  <c r="AD291" i="9" s="1"/>
  <c r="Y307" i="9"/>
  <c r="Z307" i="9" s="1"/>
  <c r="P307" i="9" s="1"/>
  <c r="AD307" i="9" s="1"/>
  <c r="Y323" i="9"/>
  <c r="Z323" i="9" s="1"/>
  <c r="P323" i="9" s="1"/>
  <c r="AD323" i="9" s="1"/>
  <c r="Y339" i="9"/>
  <c r="Z339" i="9" s="1"/>
  <c r="P339" i="9" s="1"/>
  <c r="AD339" i="9" s="1"/>
  <c r="Y355" i="9"/>
  <c r="Z355" i="9" s="1"/>
  <c r="P355" i="9" s="1"/>
  <c r="AD355" i="9" s="1"/>
  <c r="Y212" i="9"/>
  <c r="Z212" i="9" s="1"/>
  <c r="P212" i="9" s="1"/>
  <c r="AD212" i="9" s="1"/>
  <c r="Y228" i="9"/>
  <c r="Z228" i="9" s="1"/>
  <c r="P228" i="9" s="1"/>
  <c r="AD228" i="9" s="1"/>
  <c r="Y244" i="9"/>
  <c r="Z244" i="9" s="1"/>
  <c r="P244" i="9" s="1"/>
  <c r="AD244" i="9" s="1"/>
  <c r="Y260" i="9"/>
  <c r="Z260" i="9" s="1"/>
  <c r="P260" i="9" s="1"/>
  <c r="AD260" i="9" s="1"/>
  <c r="Y276" i="9"/>
  <c r="Z276" i="9" s="1"/>
  <c r="P276" i="9" s="1"/>
  <c r="AD276" i="9" s="1"/>
  <c r="Y292" i="9"/>
  <c r="Z292" i="9" s="1"/>
  <c r="P292" i="9" s="1"/>
  <c r="AD292" i="9" s="1"/>
  <c r="Y308" i="9"/>
  <c r="Z308" i="9" s="1"/>
  <c r="P308" i="9" s="1"/>
  <c r="AD308" i="9" s="1"/>
  <c r="Y324" i="9"/>
  <c r="Z324" i="9" s="1"/>
  <c r="P324" i="9" s="1"/>
  <c r="AD324" i="9" s="1"/>
  <c r="Y340" i="9"/>
  <c r="Z340" i="9" s="1"/>
  <c r="P340" i="9" s="1"/>
  <c r="AD340" i="9" s="1"/>
  <c r="Y356" i="9"/>
  <c r="Z356" i="9" s="1"/>
  <c r="P356" i="9" s="1"/>
  <c r="AD356" i="9" s="1"/>
  <c r="Y51" i="9"/>
  <c r="Z51" i="9" s="1"/>
  <c r="P51" i="9" s="1"/>
  <c r="AD51" i="9" s="1"/>
  <c r="Y210" i="9"/>
  <c r="Z210" i="9" s="1"/>
  <c r="P210" i="9" s="1"/>
  <c r="AD210" i="9" s="1"/>
  <c r="Y242" i="9"/>
  <c r="Z242" i="9" s="1"/>
  <c r="P242" i="9" s="1"/>
  <c r="AD242" i="9" s="1"/>
  <c r="Y274" i="9"/>
  <c r="Z274" i="9" s="1"/>
  <c r="P274" i="9" s="1"/>
  <c r="AD274" i="9" s="1"/>
  <c r="Y306" i="9"/>
  <c r="Z306" i="9" s="1"/>
  <c r="P306" i="9" s="1"/>
  <c r="AD306" i="9" s="1"/>
  <c r="Y338" i="9"/>
  <c r="Z338" i="9" s="1"/>
  <c r="P338" i="9" s="1"/>
  <c r="AD338" i="9" s="1"/>
  <c r="Y370" i="9"/>
  <c r="Z370" i="9" s="1"/>
  <c r="P370" i="9" s="1"/>
  <c r="AD370" i="9" s="1"/>
  <c r="Y222" i="9"/>
  <c r="Z222" i="9" s="1"/>
  <c r="P222" i="9" s="1"/>
  <c r="AD222" i="9" s="1"/>
  <c r="Y238" i="9"/>
  <c r="Z238" i="9" s="1"/>
  <c r="P238" i="9" s="1"/>
  <c r="AD238" i="9" s="1"/>
  <c r="Y254" i="9"/>
  <c r="Z254" i="9" s="1"/>
  <c r="P254" i="9" s="1"/>
  <c r="AD254" i="9" s="1"/>
  <c r="Y270" i="9"/>
  <c r="Z270" i="9" s="1"/>
  <c r="P270" i="9" s="1"/>
  <c r="AD270" i="9" s="1"/>
  <c r="Y286" i="9"/>
  <c r="Z286" i="9" s="1"/>
  <c r="P286" i="9" s="1"/>
  <c r="AD286" i="9" s="1"/>
  <c r="Y302" i="9"/>
  <c r="Z302" i="9" s="1"/>
  <c r="P302" i="9" s="1"/>
  <c r="AD302" i="9" s="1"/>
  <c r="Y318" i="9"/>
  <c r="Z318" i="9" s="1"/>
  <c r="P318" i="9" s="1"/>
  <c r="AD318" i="9" s="1"/>
  <c r="Y334" i="9"/>
  <c r="Z334" i="9" s="1"/>
  <c r="P334" i="9" s="1"/>
  <c r="AD334" i="9" s="1"/>
  <c r="Y350" i="9"/>
  <c r="Z350" i="9" s="1"/>
  <c r="P350" i="9" s="1"/>
  <c r="AD350" i="9" s="1"/>
  <c r="Y366" i="9"/>
  <c r="Z366" i="9" s="1"/>
  <c r="P366" i="9" s="1"/>
  <c r="AD366" i="9" s="1"/>
  <c r="Y187" i="9"/>
  <c r="Z187" i="9" s="1"/>
  <c r="P187" i="9" s="1"/>
  <c r="AD187" i="9" s="1"/>
  <c r="Y216" i="9"/>
  <c r="Z216" i="9" s="1"/>
  <c r="P216" i="9" s="1"/>
  <c r="AD216" i="9" s="1"/>
  <c r="Y232" i="9"/>
  <c r="Z232" i="9" s="1"/>
  <c r="P232" i="9" s="1"/>
  <c r="AD232" i="9" s="1"/>
  <c r="Y248" i="9"/>
  <c r="Z248" i="9" s="1"/>
  <c r="P248" i="9" s="1"/>
  <c r="AD248" i="9" s="1"/>
  <c r="Y264" i="9"/>
  <c r="Z264" i="9" s="1"/>
  <c r="P264" i="9" s="1"/>
  <c r="AD264" i="9" s="1"/>
  <c r="Y280" i="9"/>
  <c r="Z280" i="9" s="1"/>
  <c r="P280" i="9" s="1"/>
  <c r="AD280" i="9" s="1"/>
  <c r="Y296" i="9"/>
  <c r="Z296" i="9" s="1"/>
  <c r="P296" i="9" s="1"/>
  <c r="AD296" i="9" s="1"/>
  <c r="Y312" i="9"/>
  <c r="Z312" i="9" s="1"/>
  <c r="P312" i="9" s="1"/>
  <c r="AD312" i="9" s="1"/>
  <c r="Y328" i="9"/>
  <c r="Z328" i="9" s="1"/>
  <c r="P328" i="9" s="1"/>
  <c r="AD328" i="9" s="1"/>
  <c r="Y344" i="9"/>
  <c r="Z344" i="9" s="1"/>
  <c r="P344" i="9" s="1"/>
  <c r="AD344" i="9" s="1"/>
  <c r="Y360" i="9"/>
  <c r="Z360" i="9" s="1"/>
  <c r="P360" i="9" s="1"/>
  <c r="AD360" i="9" s="1"/>
  <c r="Y35" i="9"/>
  <c r="Z35" i="9" s="1"/>
  <c r="P35" i="9" s="1"/>
  <c r="AD35" i="9" s="1"/>
  <c r="Y220" i="9"/>
  <c r="Z220" i="9" s="1"/>
  <c r="P220" i="9" s="1"/>
  <c r="AD220" i="9" s="1"/>
  <c r="Y236" i="9"/>
  <c r="Z236" i="9" s="1"/>
  <c r="P236" i="9" s="1"/>
  <c r="AD236" i="9" s="1"/>
  <c r="Y252" i="9"/>
  <c r="Z252" i="9" s="1"/>
  <c r="P252" i="9" s="1"/>
  <c r="AD252" i="9" s="1"/>
  <c r="Y268" i="9"/>
  <c r="Z268" i="9" s="1"/>
  <c r="P268" i="9" s="1"/>
  <c r="AD268" i="9" s="1"/>
  <c r="Y284" i="9"/>
  <c r="Z284" i="9" s="1"/>
  <c r="P284" i="9" s="1"/>
  <c r="AD284" i="9" s="1"/>
  <c r="Y300" i="9"/>
  <c r="Z300" i="9" s="1"/>
  <c r="P300" i="9" s="1"/>
  <c r="AD300" i="9" s="1"/>
  <c r="Y316" i="9"/>
  <c r="Z316" i="9" s="1"/>
  <c r="P316" i="9" s="1"/>
  <c r="AD316" i="9" s="1"/>
  <c r="Y332" i="9"/>
  <c r="Z332" i="9" s="1"/>
  <c r="P332" i="9" s="1"/>
  <c r="AD332" i="9" s="1"/>
  <c r="Y348" i="9"/>
  <c r="Z348" i="9" s="1"/>
  <c r="P348" i="9" s="1"/>
  <c r="AD348" i="9" s="1"/>
  <c r="Y364" i="9"/>
  <c r="Z364" i="9" s="1"/>
  <c r="P364" i="9" s="1"/>
  <c r="AD364" i="9" s="1"/>
  <c r="Y226" i="9"/>
  <c r="Z226" i="9" s="1"/>
  <c r="P226" i="9" s="1"/>
  <c r="AD226" i="9" s="1"/>
  <c r="Y258" i="9"/>
  <c r="Z258" i="9" s="1"/>
  <c r="P258" i="9" s="1"/>
  <c r="AD258" i="9" s="1"/>
  <c r="Y290" i="9"/>
  <c r="Z290" i="9" s="1"/>
  <c r="P290" i="9" s="1"/>
  <c r="AD290" i="9" s="1"/>
  <c r="Y322" i="9"/>
  <c r="Z322" i="9" s="1"/>
  <c r="P322" i="9" s="1"/>
  <c r="AD322" i="9" s="1"/>
  <c r="Y354" i="9"/>
  <c r="Z354" i="9" s="1"/>
  <c r="P354" i="9" s="1"/>
  <c r="AD354" i="9" s="1"/>
  <c r="Y214" i="9"/>
  <c r="Z214" i="9" s="1"/>
  <c r="P214" i="9" s="1"/>
  <c r="AD214" i="9" s="1"/>
  <c r="Y230" i="9"/>
  <c r="Z230" i="9" s="1"/>
  <c r="P230" i="9" s="1"/>
  <c r="AD230" i="9" s="1"/>
  <c r="Y246" i="9"/>
  <c r="Z246" i="9" s="1"/>
  <c r="P246" i="9" s="1"/>
  <c r="AD246" i="9" s="1"/>
  <c r="Y262" i="9"/>
  <c r="Z262" i="9" s="1"/>
  <c r="P262" i="9" s="1"/>
  <c r="AD262" i="9" s="1"/>
  <c r="Y278" i="9"/>
  <c r="Z278" i="9" s="1"/>
  <c r="P278" i="9" s="1"/>
  <c r="AD278" i="9" s="1"/>
  <c r="Y294" i="9"/>
  <c r="Z294" i="9" s="1"/>
  <c r="P294" i="9" s="1"/>
  <c r="AD294" i="9" s="1"/>
  <c r="Y310" i="9"/>
  <c r="Z310" i="9" s="1"/>
  <c r="P310" i="9" s="1"/>
  <c r="AD310" i="9" s="1"/>
  <c r="Y326" i="9"/>
  <c r="Z326" i="9" s="1"/>
  <c r="P326" i="9" s="1"/>
  <c r="AD326" i="9" s="1"/>
  <c r="Y342" i="9"/>
  <c r="Z342" i="9" s="1"/>
  <c r="P342" i="9" s="1"/>
  <c r="AD342" i="9" s="1"/>
  <c r="Y358" i="9"/>
  <c r="Z358" i="9" s="1"/>
  <c r="P358" i="9" s="1"/>
  <c r="AD358" i="9" s="1"/>
  <c r="Y171" i="9"/>
  <c r="Z171" i="9" s="1"/>
  <c r="P171" i="9" s="1"/>
  <c r="AD171" i="9" s="1"/>
  <c r="Y203" i="9"/>
  <c r="Z203" i="9" s="1"/>
  <c r="P203" i="9" s="1"/>
  <c r="AD203" i="9" s="1"/>
  <c r="Y219" i="9"/>
  <c r="Z219" i="9" s="1"/>
  <c r="P219" i="9" s="1"/>
  <c r="AD219" i="9" s="1"/>
  <c r="Y235" i="9"/>
  <c r="Z235" i="9" s="1"/>
  <c r="P235" i="9" s="1"/>
  <c r="AD235" i="9" s="1"/>
  <c r="Y251" i="9"/>
  <c r="Z251" i="9" s="1"/>
  <c r="P251" i="9" s="1"/>
  <c r="AD251" i="9" s="1"/>
  <c r="Y267" i="9"/>
  <c r="Z267" i="9" s="1"/>
  <c r="P267" i="9" s="1"/>
  <c r="AD267" i="9" s="1"/>
  <c r="Y283" i="9"/>
  <c r="Z283" i="9" s="1"/>
  <c r="P283" i="9" s="1"/>
  <c r="AD283" i="9" s="1"/>
  <c r="Y299" i="9"/>
  <c r="Z299" i="9" s="1"/>
  <c r="P299" i="9" s="1"/>
  <c r="AD299" i="9" s="1"/>
  <c r="Y315" i="9"/>
  <c r="Z315" i="9" s="1"/>
  <c r="P315" i="9" s="1"/>
  <c r="AD315" i="9" s="1"/>
  <c r="Y331" i="9"/>
  <c r="Z331" i="9" s="1"/>
  <c r="P331" i="9" s="1"/>
  <c r="AD331" i="9" s="1"/>
  <c r="Y347" i="9"/>
  <c r="Z347" i="9" s="1"/>
  <c r="P347" i="9" s="1"/>
  <c r="AD347" i="9" s="1"/>
  <c r="Y363" i="9"/>
  <c r="Z363" i="9" s="1"/>
  <c r="P363" i="9" s="1"/>
  <c r="AD363" i="9" s="1"/>
  <c r="Y218" i="9"/>
  <c r="Z218" i="9" s="1"/>
  <c r="P218" i="9" s="1"/>
  <c r="AD218" i="9" s="1"/>
  <c r="Y250" i="9"/>
  <c r="Z250" i="9" s="1"/>
  <c r="P250" i="9" s="1"/>
  <c r="AD250" i="9" s="1"/>
  <c r="Y282" i="9"/>
  <c r="Z282" i="9" s="1"/>
  <c r="P282" i="9" s="1"/>
  <c r="AD282" i="9" s="1"/>
  <c r="Y314" i="9"/>
  <c r="Z314" i="9" s="1"/>
  <c r="P314" i="9" s="1"/>
  <c r="AD314" i="9" s="1"/>
  <c r="Y346" i="9"/>
  <c r="Z346" i="9" s="1"/>
  <c r="P346" i="9" s="1"/>
  <c r="AD346" i="9" s="1"/>
  <c r="Y179" i="9"/>
  <c r="Z179" i="9" s="1"/>
  <c r="P179" i="9" s="1"/>
  <c r="AD179" i="9" s="1"/>
  <c r="Y208" i="9"/>
  <c r="Z208" i="9" s="1"/>
  <c r="P208" i="9" s="1"/>
  <c r="AD208" i="9" s="1"/>
  <c r="Y224" i="9"/>
  <c r="Z224" i="9" s="1"/>
  <c r="P224" i="9" s="1"/>
  <c r="AD224" i="9" s="1"/>
  <c r="Y240" i="9"/>
  <c r="Z240" i="9" s="1"/>
  <c r="P240" i="9" s="1"/>
  <c r="AD240" i="9" s="1"/>
  <c r="Y256" i="9"/>
  <c r="Z256" i="9" s="1"/>
  <c r="P256" i="9" s="1"/>
  <c r="AD256" i="9" s="1"/>
  <c r="Y272" i="9"/>
  <c r="Z272" i="9" s="1"/>
  <c r="P272" i="9" s="1"/>
  <c r="AD272" i="9" s="1"/>
  <c r="Y288" i="9"/>
  <c r="Z288" i="9" s="1"/>
  <c r="P288" i="9" s="1"/>
  <c r="AD288" i="9" s="1"/>
  <c r="Y304" i="9"/>
  <c r="Z304" i="9" s="1"/>
  <c r="P304" i="9" s="1"/>
  <c r="AD304" i="9" s="1"/>
  <c r="Y320" i="9"/>
  <c r="Z320" i="9" s="1"/>
  <c r="P320" i="9" s="1"/>
  <c r="AD320" i="9" s="1"/>
  <c r="Y336" i="9"/>
  <c r="Z336" i="9" s="1"/>
  <c r="P336" i="9" s="1"/>
  <c r="AD336" i="9" s="1"/>
  <c r="Y352" i="9"/>
  <c r="Z352" i="9" s="1"/>
  <c r="P352" i="9" s="1"/>
  <c r="AD352" i="9" s="1"/>
  <c r="Y368" i="9"/>
  <c r="Z368" i="9" s="1"/>
  <c r="P368" i="9" s="1"/>
  <c r="AD368" i="9" s="1"/>
  <c r="Z7" i="7"/>
  <c r="Z13" i="7" s="1"/>
  <c r="AA37" i="7" s="1"/>
  <c r="Y37" i="7" s="1"/>
  <c r="V32" i="12"/>
  <c r="U21" i="1"/>
  <c r="AA7" i="7" s="1"/>
  <c r="AA18" i="7" s="1"/>
  <c r="AA19" i="7"/>
  <c r="W32" i="12" l="1"/>
  <c r="AA13" i="7"/>
  <c r="AA26" i="7"/>
  <c r="Y26" i="7" s="1"/>
  <c r="AA36" i="7"/>
  <c r="Y36" i="7" s="1"/>
  <c r="AA42" i="7"/>
  <c r="Y42" i="7" s="1"/>
  <c r="AA40" i="7"/>
  <c r="Y40" i="7" s="1"/>
  <c r="AA43" i="7"/>
  <c r="Y43" i="7" s="1"/>
  <c r="AA41" i="7"/>
  <c r="Y41" i="7" s="1"/>
  <c r="AA39" i="7"/>
  <c r="Y39" i="7" s="1"/>
  <c r="AA38" i="7"/>
  <c r="Y38" i="7" s="1"/>
  <c r="AA29" i="7"/>
  <c r="Y29" i="7" s="1"/>
  <c r="AA28" i="7"/>
  <c r="Y28" i="7" s="1"/>
  <c r="AA23" i="7"/>
  <c r="Y23" i="7" s="1"/>
  <c r="AA31" i="7"/>
  <c r="AA24" i="7"/>
  <c r="Y24" i="7" s="1"/>
  <c r="AA30" i="7"/>
  <c r="Y30" i="7" s="1"/>
  <c r="AA27" i="7"/>
  <c r="Y27" i="7" s="1"/>
  <c r="AA25" i="7"/>
  <c r="Y25" i="7" s="1"/>
  <c r="AA20" i="7"/>
  <c r="X32" i="12" l="1"/>
  <c r="Y32" i="12" l="1"/>
  <c r="Z32" i="12" l="1"/>
  <c r="AA32" i="12" l="1"/>
  <c r="AB32" i="12" l="1"/>
  <c r="AC32" i="12" l="1"/>
  <c r="AD32" i="12" l="1"/>
  <c r="AE32" i="12" l="1"/>
  <c r="AF32" i="12" l="1"/>
  <c r="AG32" i="12" l="1"/>
  <c r="AH32" i="12" l="1"/>
  <c r="AI32" i="12" l="1"/>
  <c r="AJ32" i="12" l="1"/>
  <c r="AK32" i="12" l="1"/>
  <c r="AL32" i="12" l="1"/>
  <c r="AM32" i="12" l="1"/>
  <c r="AN32" i="12" l="1"/>
  <c r="AO32" i="12" l="1"/>
  <c r="AP32" i="12" l="1"/>
  <c r="AQ32" i="12" l="1"/>
  <c r="AR32" i="12" l="1"/>
  <c r="AS32" i="12" l="1"/>
  <c r="AT32" i="12" l="1"/>
  <c r="AU32" i="12" l="1"/>
  <c r="AV32" i="12" l="1"/>
  <c r="AW32" i="12" l="1"/>
  <c r="AX32" i="12" l="1"/>
  <c r="AY32" i="12" l="1"/>
  <c r="AZ32" i="12" l="1"/>
  <c r="BA32" i="12" l="1"/>
  <c r="BB32" i="12" l="1"/>
  <c r="BC32" i="12"/>
</calcChain>
</file>

<file path=xl/comments1.xml><?xml version="1.0" encoding="utf-8"?>
<comments xmlns="http://schemas.openxmlformats.org/spreadsheetml/2006/main">
  <authors>
    <author>Leong, Patrick</author>
  </authors>
  <commentList>
    <comment ref="K5" authorId="0" shapeId="0">
      <text>
        <r>
          <rPr>
            <sz val="9"/>
            <color indexed="81"/>
            <rFont val="Tahoma"/>
            <family val="2"/>
          </rPr>
          <t>Input box: 
C = Comps room
U = Upgrade room</t>
        </r>
      </text>
    </comment>
  </commentList>
</comments>
</file>

<file path=xl/comments2.xml><?xml version="1.0" encoding="utf-8"?>
<comments xmlns="http://schemas.openxmlformats.org/spreadsheetml/2006/main">
  <authors>
    <author>Leong, Patrick</author>
  </authors>
  <commentList>
    <comment ref="K5" authorId="0" shapeId="0">
      <text>
        <r>
          <rPr>
            <sz val="9"/>
            <color indexed="81"/>
            <rFont val="Tahoma"/>
            <family val="2"/>
          </rPr>
          <t>Input box: 
C = Comps room
U = Upgrade room</t>
        </r>
      </text>
    </comment>
  </commentList>
</comments>
</file>

<file path=xl/comments3.xml><?xml version="1.0" encoding="utf-8"?>
<comments xmlns="http://schemas.openxmlformats.org/spreadsheetml/2006/main">
  <authors>
    <author>Leong, Patrick</author>
  </authors>
  <commentList>
    <comment ref="K5" authorId="0" shapeId="0">
      <text>
        <r>
          <rPr>
            <sz val="9"/>
            <color indexed="81"/>
            <rFont val="Tahoma"/>
            <family val="2"/>
          </rPr>
          <t>Input box: 
C = Comps room
U = Upgrade room</t>
        </r>
      </text>
    </comment>
  </commentList>
</comments>
</file>

<file path=xl/comments4.xml><?xml version="1.0" encoding="utf-8"?>
<comments xmlns="http://schemas.openxmlformats.org/spreadsheetml/2006/main">
  <authors>
    <author>Leong, Patrick</author>
  </authors>
  <commentList>
    <comment ref="K5" authorId="0" shapeId="0">
      <text>
        <r>
          <rPr>
            <sz val="9"/>
            <color indexed="81"/>
            <rFont val="Tahoma"/>
            <family val="2"/>
          </rPr>
          <t xml:space="preserve">Input box: 
C = Comps room
U = Upgrade room
</t>
        </r>
      </text>
    </comment>
  </commentList>
</comments>
</file>

<file path=xl/sharedStrings.xml><?xml version="1.0" encoding="utf-8"?>
<sst xmlns="http://schemas.openxmlformats.org/spreadsheetml/2006/main" count="5127" uniqueCount="1807">
  <si>
    <t>Accommodation :</t>
  </si>
  <si>
    <t>Venetian</t>
  </si>
  <si>
    <t>Room</t>
  </si>
  <si>
    <t>Room rate</t>
  </si>
  <si>
    <t>FDC rate</t>
  </si>
  <si>
    <t>Revenue</t>
  </si>
  <si>
    <t>Date</t>
  </si>
  <si>
    <t>Room Type</t>
  </si>
  <si>
    <t>Parisian</t>
  </si>
  <si>
    <t>Breakfast</t>
  </si>
  <si>
    <t>Total Revenue</t>
  </si>
  <si>
    <t>Total Revenue (net)</t>
  </si>
  <si>
    <t>Ferry</t>
  </si>
  <si>
    <t>Price</t>
  </si>
  <si>
    <t>Pax</t>
  </si>
  <si>
    <t>RNs</t>
  </si>
  <si>
    <t>***</t>
  </si>
  <si>
    <t>Conrad</t>
  </si>
  <si>
    <t>Holiday Inn</t>
  </si>
  <si>
    <t>Run of House</t>
  </si>
  <si>
    <t>Royale Deluxe Suite</t>
  </si>
  <si>
    <t>Royale Deluxe Cotai View Suite</t>
  </si>
  <si>
    <t>Bella Deluxe Suite</t>
  </si>
  <si>
    <t>Bella Deluxe Cotai View Suite</t>
  </si>
  <si>
    <t>Premio Royale Suite</t>
  </si>
  <si>
    <t>Premio Bella Suite</t>
  </si>
  <si>
    <t>Premio Rialto Suite</t>
  </si>
  <si>
    <t>Premio Rialto Bella Suite</t>
  </si>
  <si>
    <t>Rialto Deluxe Suite</t>
  </si>
  <si>
    <t>Rialto Bella Deluxe Suite</t>
  </si>
  <si>
    <t>Verona Deluxe Suite</t>
  </si>
  <si>
    <t>Famiglia Suite</t>
  </si>
  <si>
    <t>Milano Suite</t>
  </si>
  <si>
    <t>Roma Suite</t>
  </si>
  <si>
    <t>Florence Suite</t>
  </si>
  <si>
    <t>Venice Suite</t>
  </si>
  <si>
    <t>Venice Suite with Pool</t>
  </si>
  <si>
    <t>Cielo Suite</t>
  </si>
  <si>
    <t>Deluxe King</t>
  </si>
  <si>
    <t>Deluxe Double</t>
  </si>
  <si>
    <t>Eiffel Tower King</t>
  </si>
  <si>
    <t>Eiffel Tower Double</t>
  </si>
  <si>
    <t>Famille Queen</t>
  </si>
  <si>
    <t>Cannes Suite King</t>
  </si>
  <si>
    <t>Lyon Suite King</t>
  </si>
  <si>
    <t>Lyon Suite King - Eiffel View</t>
  </si>
  <si>
    <t>Lyon Suite Double</t>
  </si>
  <si>
    <t>Lyon Suite Double - Eiffel View</t>
  </si>
  <si>
    <t>Marseille Suite King</t>
  </si>
  <si>
    <t>Marseille Suite King - Eiffel View</t>
  </si>
  <si>
    <t>Paris Suite</t>
  </si>
  <si>
    <t>Paris Suite - Eiffel View</t>
  </si>
  <si>
    <t>Versailles Suite</t>
  </si>
  <si>
    <t>King Deluxe</t>
  </si>
  <si>
    <t>King Deluxe City View</t>
  </si>
  <si>
    <t>2 Queens Deluxe</t>
  </si>
  <si>
    <t>2 Queens Deluxe City View</t>
  </si>
  <si>
    <t>2 Queens Junior Suite</t>
  </si>
  <si>
    <t>2 Queens Junior Suite City View</t>
  </si>
  <si>
    <t>King Deluxe Suite</t>
  </si>
  <si>
    <t>King Deluxe Suite City View</t>
  </si>
  <si>
    <t>2 Queens Deluxe Suite</t>
  </si>
  <si>
    <t>2 Queens Deluxe Suite City View</t>
  </si>
  <si>
    <t>King Premier Suite</t>
  </si>
  <si>
    <t>King Premier Suite City View</t>
  </si>
  <si>
    <t>King Presidential Suite</t>
  </si>
  <si>
    <t>King Chairman Suite</t>
  </si>
  <si>
    <t>King Club Suite</t>
  </si>
  <si>
    <t>Two Bedrooms Chairman Suite</t>
  </si>
  <si>
    <t>King Superior</t>
  </si>
  <si>
    <t>King Superior Smoking</t>
  </si>
  <si>
    <t>2 Double Superior</t>
  </si>
  <si>
    <t>2 Double Superior Smoking</t>
  </si>
  <si>
    <t>King Deluxe Smoking</t>
  </si>
  <si>
    <t>2 Double Deluxe</t>
  </si>
  <si>
    <t>2 Double Deluxe Smoking</t>
  </si>
  <si>
    <t>King Superior Suite</t>
  </si>
  <si>
    <t>King Superior Suite Smoking</t>
  </si>
  <si>
    <t>2 Double Superior Suite</t>
  </si>
  <si>
    <t>2 Double Superior Suite Smoking</t>
  </si>
  <si>
    <t>King Deluxe Suite Smoking</t>
  </si>
  <si>
    <t>King Premier Suite Accessible Smoking</t>
  </si>
  <si>
    <t>Presidential Suite</t>
  </si>
  <si>
    <t>Chairman Suite</t>
  </si>
  <si>
    <t xml:space="preserve">Total Room Revenue </t>
  </si>
  <si>
    <t>Total RNs</t>
  </si>
  <si>
    <t>Breakfast pax</t>
  </si>
  <si>
    <t>Breakfast Revenue</t>
  </si>
  <si>
    <t>Ferry pax</t>
  </si>
  <si>
    <t>Ferry Revenue</t>
  </si>
  <si>
    <t>FDC RNs</t>
  </si>
  <si>
    <t>FDC Revenue</t>
  </si>
  <si>
    <t>Total Room Revenue (Nett)</t>
  </si>
  <si>
    <t>F&amp;B min:</t>
  </si>
  <si>
    <t>Rental:</t>
  </si>
  <si>
    <t>Meeting Package:</t>
  </si>
  <si>
    <t>Name</t>
  </si>
  <si>
    <t>Nett</t>
  </si>
  <si>
    <t>Total Room Revenue</t>
  </si>
  <si>
    <t>Total</t>
  </si>
  <si>
    <t>Total F&amp;B min</t>
  </si>
  <si>
    <t>Total Rental</t>
  </si>
  <si>
    <t>Total Meeting Pkg</t>
  </si>
  <si>
    <t>Contract Value</t>
  </si>
  <si>
    <t>Property</t>
  </si>
  <si>
    <t>Deposit</t>
  </si>
  <si>
    <t>1st Deposit</t>
  </si>
  <si>
    <t>2nd Deposit</t>
  </si>
  <si>
    <t>3rd Deposit</t>
  </si>
  <si>
    <t>Amount</t>
  </si>
  <si>
    <t>Percent</t>
  </si>
  <si>
    <t>4th Deposit</t>
  </si>
  <si>
    <t>5th Deposit</t>
  </si>
  <si>
    <t>6th Deposit</t>
  </si>
  <si>
    <t>7th Deposit</t>
  </si>
  <si>
    <t>Room Revenue</t>
  </si>
  <si>
    <t>Event Revenue</t>
  </si>
  <si>
    <t>8th Deposit</t>
  </si>
  <si>
    <t>Cancellation</t>
  </si>
  <si>
    <t>Deposit Calculation</t>
  </si>
  <si>
    <t>Package</t>
  </si>
  <si>
    <t>Full Day Pkg</t>
  </si>
  <si>
    <t>Half Day Pkg wif lunch</t>
  </si>
  <si>
    <t>Half Day Pkg without lunch</t>
  </si>
  <si>
    <t>Customize Pkg</t>
  </si>
  <si>
    <t>VMRH</t>
  </si>
  <si>
    <t>CMCC</t>
  </si>
  <si>
    <t>HIMCC</t>
  </si>
  <si>
    <t>PARIS</t>
  </si>
  <si>
    <t>1st Cancellation</t>
  </si>
  <si>
    <t>2nd Cancellation</t>
  </si>
  <si>
    <t>3rd Cancellation</t>
  </si>
  <si>
    <t>4th Cancellation</t>
  </si>
  <si>
    <t>5th Cancellation</t>
  </si>
  <si>
    <t>6th Cancellation</t>
  </si>
  <si>
    <t>7th Cancellation</t>
  </si>
  <si>
    <t>8th Cancellation</t>
  </si>
  <si>
    <t>F&amp;Bmin</t>
  </si>
  <si>
    <t>Rental</t>
  </si>
  <si>
    <t>Mtg Pkg</t>
  </si>
  <si>
    <t>Parisian Ballroom</t>
  </si>
  <si>
    <t>###</t>
  </si>
  <si>
    <t>####</t>
  </si>
  <si>
    <t>**</t>
  </si>
  <si>
    <t>Attrition (%)</t>
  </si>
  <si>
    <t>Comm (%)</t>
  </si>
  <si>
    <t>Bbf Revenue</t>
  </si>
  <si>
    <t>Bbf pax</t>
  </si>
  <si>
    <t>Eiffel Tower</t>
  </si>
  <si>
    <t>Etower pax</t>
  </si>
  <si>
    <t>Etower Revenue</t>
  </si>
  <si>
    <t>Start Time</t>
  </si>
  <si>
    <t>End Time</t>
  </si>
  <si>
    <t>Function</t>
  </si>
  <si>
    <t>Setup</t>
  </si>
  <si>
    <t>AGR</t>
  </si>
  <si>
    <t>Room (Option)</t>
  </si>
  <si>
    <t>Bordeaux 75-76</t>
  </si>
  <si>
    <t>Bordeaux 73-74</t>
  </si>
  <si>
    <t>Comp or 
Upgrade</t>
  </si>
  <si>
    <t>Comp or
Upgrade</t>
  </si>
  <si>
    <t>Naples Ballroom</t>
  </si>
  <si>
    <t>Verona Ballroom</t>
  </si>
  <si>
    <t>Sicily Ballroom</t>
  </si>
  <si>
    <t>Venetian Ballroom</t>
  </si>
  <si>
    <t>Da Vinci 2801</t>
  </si>
  <si>
    <t>Casa Nova 2802</t>
  </si>
  <si>
    <t>Galileo 2803</t>
  </si>
  <si>
    <t>Marco Polo 2804</t>
  </si>
  <si>
    <t>Bordeaux 7-1</t>
  </si>
  <si>
    <t>Parisian 7001AB-7002</t>
  </si>
  <si>
    <t>Hall D</t>
  </si>
  <si>
    <t>Parisian 7101AB-7305N</t>
  </si>
  <si>
    <t>Ballroom A-F</t>
  </si>
  <si>
    <t>Sicily 2405-2506</t>
  </si>
  <si>
    <t>Naples 2601AB-2702</t>
  </si>
  <si>
    <t>Sicily 2401AB-2502</t>
  </si>
  <si>
    <t>Naples 2605-2706</t>
  </si>
  <si>
    <t>Naples 2603-2704</t>
  </si>
  <si>
    <t>Sicily 2403-2504</t>
  </si>
  <si>
    <t>Pool Deck Event Space</t>
  </si>
  <si>
    <t>Ballroom G-L</t>
  </si>
  <si>
    <t>Milan Ballroom</t>
  </si>
  <si>
    <t>Level 3 Foyers</t>
  </si>
  <si>
    <t>Level 1 Foyers</t>
  </si>
  <si>
    <t>Florence Ballroom</t>
  </si>
  <si>
    <t>Milan 2005</t>
  </si>
  <si>
    <t>Office</t>
  </si>
  <si>
    <t>Milan 2003</t>
  </si>
  <si>
    <t>Milan 2103-2104</t>
  </si>
  <si>
    <t>Milan 2004</t>
  </si>
  <si>
    <t>Milan 2006</t>
  </si>
  <si>
    <t>Milan 2105-2106</t>
  </si>
  <si>
    <t>Milan 2001AB-2002</t>
  </si>
  <si>
    <t>Milan 2101AB-2102</t>
  </si>
  <si>
    <t>Florence 2201AB-2202</t>
  </si>
  <si>
    <t>Florence 2301AB-2302</t>
  </si>
  <si>
    <t>Florence 2203-2204</t>
  </si>
  <si>
    <t>Florence 2303-2304</t>
  </si>
  <si>
    <t>Florence 2205-2206</t>
  </si>
  <si>
    <t>Florence 2305-2306</t>
  </si>
  <si>
    <t>Ballroom Foyer</t>
  </si>
  <si>
    <t>Torino Ballroom</t>
  </si>
  <si>
    <t>Hall B</t>
  </si>
  <si>
    <t>Torino 1204-1306</t>
  </si>
  <si>
    <t>Parisian 7101AB-7405NS</t>
  </si>
  <si>
    <t>Bordeaux 7-3</t>
  </si>
  <si>
    <t>Bordeaux 7-4</t>
  </si>
  <si>
    <t>Cafe Deco</t>
  </si>
  <si>
    <t xml:space="preserve">Room Rental </t>
  </si>
  <si>
    <t>BR Rate</t>
  </si>
  <si>
    <t>Room Revenue in FDC</t>
  </si>
  <si>
    <t>Meeting Rooms</t>
  </si>
  <si>
    <t>Adelson Advanced Ed Center</t>
  </si>
  <si>
    <t>Arena Club Lounge 1</t>
  </si>
  <si>
    <t>Arena Club Lounge 2</t>
  </si>
  <si>
    <t>Arena Club Lounge 3</t>
  </si>
  <si>
    <t>Arena Club Lounge 4</t>
  </si>
  <si>
    <t>Arena Club Lounge 5</t>
  </si>
  <si>
    <t>Arena Foyer North</t>
  </si>
  <si>
    <t>Arena Foyer South</t>
  </si>
  <si>
    <t>Arena Sky Lounge</t>
  </si>
  <si>
    <t>Arena, Event Center</t>
  </si>
  <si>
    <t>Ballroom A</t>
  </si>
  <si>
    <t>Ballroom A&amp;D</t>
  </si>
  <si>
    <t>Ballroom A,B,D,E</t>
  </si>
  <si>
    <t>Ballroom AB</t>
  </si>
  <si>
    <t>Ballroom A-C</t>
  </si>
  <si>
    <t>Ballroom B</t>
  </si>
  <si>
    <t>Ballroom B&amp;E</t>
  </si>
  <si>
    <t>Ballroom B,C,E,F</t>
  </si>
  <si>
    <t>Ballroom B-C</t>
  </si>
  <si>
    <t>Ballroom C</t>
  </si>
  <si>
    <t>Ballroom C&amp;F</t>
  </si>
  <si>
    <t>Ballroom D</t>
  </si>
  <si>
    <t>Ballroom D,E,F</t>
  </si>
  <si>
    <t>Ballroom D-E</t>
  </si>
  <si>
    <t>Ballroom D-I</t>
  </si>
  <si>
    <t>Ballroom E</t>
  </si>
  <si>
    <t>Ballroom E-F</t>
  </si>
  <si>
    <t>Ballroom F</t>
  </si>
  <si>
    <t>Ballroom G</t>
  </si>
  <si>
    <t>Ballroom G&amp;J</t>
  </si>
  <si>
    <t>Ballroom G,H,J,K</t>
  </si>
  <si>
    <t>Ballroom G-H</t>
  </si>
  <si>
    <t>Ballroom G-I</t>
  </si>
  <si>
    <t>Ballroom H</t>
  </si>
  <si>
    <t>Ballroom H&amp;K</t>
  </si>
  <si>
    <t>Ballroom H,I,K,L</t>
  </si>
  <si>
    <t>Ballroom H-I</t>
  </si>
  <si>
    <t>Ballroom I</t>
  </si>
  <si>
    <t>Ballroom I&amp;L</t>
  </si>
  <si>
    <t>Ballroom J</t>
  </si>
  <si>
    <t>Ballroom J-K</t>
  </si>
  <si>
    <t>Ballroom J-L</t>
  </si>
  <si>
    <t>Ballroom K</t>
  </si>
  <si>
    <t>Ballroom K-L</t>
  </si>
  <si>
    <t>Ballroom L</t>
  </si>
  <si>
    <t>Bambu</t>
  </si>
  <si>
    <t>Banner 1</t>
  </si>
  <si>
    <t>Banner 2</t>
  </si>
  <si>
    <t>Banner 3</t>
  </si>
  <si>
    <t>Bellini Lounge</t>
  </si>
  <si>
    <t>Boardroom Casa Nova (2802)</t>
  </si>
  <si>
    <t>Boardroom DaVinci (2801)</t>
  </si>
  <si>
    <t>Boardroom Foyer</t>
  </si>
  <si>
    <t>Boardroom Galileo (2803)</t>
  </si>
  <si>
    <t>Boardroom Marco Polo (2804)</t>
  </si>
  <si>
    <t>Bus Depot</t>
  </si>
  <si>
    <t>Café Deco</t>
  </si>
  <si>
    <t>Canton</t>
  </si>
  <si>
    <t>Capri 1001</t>
  </si>
  <si>
    <t>Capri 1001 &amp; 1002</t>
  </si>
  <si>
    <t>Capri 1001 &amp; 1101</t>
  </si>
  <si>
    <t>Capri 1001-1003</t>
  </si>
  <si>
    <t>Capri 1001-1004</t>
  </si>
  <si>
    <t>Capri 1001-1005</t>
  </si>
  <si>
    <t>Capri 1001-1006</t>
  </si>
  <si>
    <t>Capri 1001-2 &amp; 1101-2</t>
  </si>
  <si>
    <t>Capri 1001-3 &amp; 1101-3</t>
  </si>
  <si>
    <t>Capri 1001-4 &amp; 1101-4</t>
  </si>
  <si>
    <t>Capri 1001-5 &amp; 1101-5</t>
  </si>
  <si>
    <t>Capri 1002</t>
  </si>
  <si>
    <t>Capri 1002 &amp; 1003</t>
  </si>
  <si>
    <t>Capri 1002 &amp; 1102</t>
  </si>
  <si>
    <t>Capri 1002-1004</t>
  </si>
  <si>
    <t>Capri 1002-1005</t>
  </si>
  <si>
    <t>Capri 1002-1006</t>
  </si>
  <si>
    <t>Capri 1002-3 &amp; 1102-3</t>
  </si>
  <si>
    <t>Capri 1002-4 &amp; 1102-4</t>
  </si>
  <si>
    <t>Capri 1002-5 &amp; 1102-5</t>
  </si>
  <si>
    <t>Capri 1002-6 &amp; 1102-6</t>
  </si>
  <si>
    <t>Capri 1003</t>
  </si>
  <si>
    <t>Capri 1003 &amp; 1004</t>
  </si>
  <si>
    <t>Capri 1003 &amp; 1103</t>
  </si>
  <si>
    <t>Capri 1003-1005</t>
  </si>
  <si>
    <t>Capri 1003-1006</t>
  </si>
  <si>
    <t>Capri 1003-4 &amp; 1103-4</t>
  </si>
  <si>
    <t>Capri 1003-5 &amp; 1103-5</t>
  </si>
  <si>
    <t>Capri 1003-6 &amp; 1103-6</t>
  </si>
  <si>
    <t>Capri 1004</t>
  </si>
  <si>
    <t>Capri 1004 &amp; 1005</t>
  </si>
  <si>
    <t>Capri 1004 &amp; 1104</t>
  </si>
  <si>
    <t>Capri 1004-1006</t>
  </si>
  <si>
    <t>Capri 1004-5 &amp; 1104-5</t>
  </si>
  <si>
    <t>Capri 1004-6 &amp; 1104-6</t>
  </si>
  <si>
    <t>Capri 1005</t>
  </si>
  <si>
    <t>Capri 1005 &amp; 1006</t>
  </si>
  <si>
    <t>Capri 1005 &amp; 1105</t>
  </si>
  <si>
    <t>Capri 1005-6 &amp; 1105-6</t>
  </si>
  <si>
    <t>Capri 1006</t>
  </si>
  <si>
    <t>Capri 1006 &amp; 1106</t>
  </si>
  <si>
    <t>Capri 1101</t>
  </si>
  <si>
    <t>Capri 1101 &amp; 1102</t>
  </si>
  <si>
    <t>Capri 1101-1103</t>
  </si>
  <si>
    <t>Capri 1101-1104</t>
  </si>
  <si>
    <t>Capri 1101-1105</t>
  </si>
  <si>
    <t>Capri 1101-1106</t>
  </si>
  <si>
    <t>Capri 1102</t>
  </si>
  <si>
    <t>Capri 1102 &amp; 1103</t>
  </si>
  <si>
    <t>Capri 1102-1104</t>
  </si>
  <si>
    <t>Capri 1102-1105</t>
  </si>
  <si>
    <t>Capri 1102-1106</t>
  </si>
  <si>
    <t>Capri 1103</t>
  </si>
  <si>
    <t>Capri 1103 &amp; 1104</t>
  </si>
  <si>
    <t>Capri 1103-1105</t>
  </si>
  <si>
    <t>Capri 1103-1106</t>
  </si>
  <si>
    <t>Capri 1104</t>
  </si>
  <si>
    <t>Capri 1104 &amp; 1105</t>
  </si>
  <si>
    <t>Capri 1104-1106</t>
  </si>
  <si>
    <t>Capri 1105</t>
  </si>
  <si>
    <t>Capri 1105 &amp; 1106</t>
  </si>
  <si>
    <t>Capri 1106</t>
  </si>
  <si>
    <t>Capri Ballroom</t>
  </si>
  <si>
    <t>Capri BR Foyer</t>
  </si>
  <si>
    <t>Circle Hall on L3</t>
  </si>
  <si>
    <t>Colonnade</t>
  </si>
  <si>
    <t>Como Cafe</t>
  </si>
  <si>
    <t>DNUVenetian Foyer North</t>
  </si>
  <si>
    <t>Entire Pool</t>
  </si>
  <si>
    <t>Exhibition Center Hall A</t>
  </si>
  <si>
    <t>Exhibition Center Hall AB</t>
  </si>
  <si>
    <t>Exhibition Center Hall ABC</t>
  </si>
  <si>
    <t>Exhibition Center Hall B</t>
  </si>
  <si>
    <t>Exhibition Center Hall BC</t>
  </si>
  <si>
    <t>Exhibition Center Hall C</t>
  </si>
  <si>
    <t>Exhibition Center Hall D</t>
  </si>
  <si>
    <t>Exhibition Center Hall DE</t>
  </si>
  <si>
    <t>Exhibition Center Hall DEF</t>
  </si>
  <si>
    <t>Exhibition Center Hall E</t>
  </si>
  <si>
    <t>Exhibition Center Hall EF</t>
  </si>
  <si>
    <t>Exhibition Center Hall F</t>
  </si>
  <si>
    <t>Expo Counter</t>
  </si>
  <si>
    <t>Florence 2201 A&amp;B</t>
  </si>
  <si>
    <t>Florence 2201 A&amp;B-2202</t>
  </si>
  <si>
    <t>Florence 2201 A&amp;B-2203</t>
  </si>
  <si>
    <t>Florence 2201 A&amp;B-2204</t>
  </si>
  <si>
    <t>Florence 2201 A&amp;B-2205</t>
  </si>
  <si>
    <t>Florence 2201 A&amp;B-2206</t>
  </si>
  <si>
    <t>Florence 2201A</t>
  </si>
  <si>
    <t>Florence 2201A&amp;B/2301A</t>
  </si>
  <si>
    <t>Florence 2201A&amp;B/2301A&amp;B</t>
  </si>
  <si>
    <t>Florence 2201AB-2 &amp; 2301AB-2</t>
  </si>
  <si>
    <t>Florence 2201AB-3 &amp; 2301AB-3</t>
  </si>
  <si>
    <t>Florence 2201AB-4 &amp; 2301AB-4</t>
  </si>
  <si>
    <t>Florence 2201AB-5 &amp; 2301AB-5</t>
  </si>
  <si>
    <t>Florence 2201B</t>
  </si>
  <si>
    <t>Florence 2201B/2301A&amp;B</t>
  </si>
  <si>
    <t>Florence 2202</t>
  </si>
  <si>
    <t>Florence 2202 &amp; 2203</t>
  </si>
  <si>
    <t>Florence 2202 &amp; 2302</t>
  </si>
  <si>
    <t>Florence 2202-2204</t>
  </si>
  <si>
    <t>Florence 2202-2205</t>
  </si>
  <si>
    <t>Florence 2202-2206</t>
  </si>
  <si>
    <t>Florence 2202-3 &amp; 2302-3</t>
  </si>
  <si>
    <t>Florence 2202-4 &amp; 2302-4</t>
  </si>
  <si>
    <t>Florence 2202-5 &amp; 2302-5</t>
  </si>
  <si>
    <t>Florence 2202-6 &amp; 2302-6</t>
  </si>
  <si>
    <t>Florence 2203</t>
  </si>
  <si>
    <t>Florence 2203 &amp; 2204</t>
  </si>
  <si>
    <t>Florence 2203 &amp; 2303</t>
  </si>
  <si>
    <t>Florence 2203-2205</t>
  </si>
  <si>
    <t>Florence 2203-2206</t>
  </si>
  <si>
    <t>Florence 2203-4 &amp; 2303-4</t>
  </si>
  <si>
    <t>Florence 2203-5 &amp; 2303-5</t>
  </si>
  <si>
    <t>Florence 2203-6 &amp; 2303-6</t>
  </si>
  <si>
    <t>Florence 2204</t>
  </si>
  <si>
    <t>Florence 2204 &amp; 2205</t>
  </si>
  <si>
    <t>Florence 2204 &amp; 2304</t>
  </si>
  <si>
    <t>Florence 2204-2206</t>
  </si>
  <si>
    <t>Florence 2204-5 &amp; 2304-5</t>
  </si>
  <si>
    <t>Florence 2204-6 &amp; 2304-6</t>
  </si>
  <si>
    <t>Florence 2205</t>
  </si>
  <si>
    <t>Florence 2205 &amp; 2206</t>
  </si>
  <si>
    <t>Florence 2205 &amp; 2305</t>
  </si>
  <si>
    <t>Florence 2205-6 &amp; 2305-6</t>
  </si>
  <si>
    <t>Florence 2206</t>
  </si>
  <si>
    <t>Florence 2206 &amp; 2306</t>
  </si>
  <si>
    <t>Florence 2301 A&amp;B</t>
  </si>
  <si>
    <t>Florence 2301 A&amp;B-2302</t>
  </si>
  <si>
    <t>Florence 2301 A&amp;B-2303</t>
  </si>
  <si>
    <t>Florence 2301 A&amp;B-2304</t>
  </si>
  <si>
    <t>Florence 2301 A&amp;B-2305</t>
  </si>
  <si>
    <t>Florence 2301 A&amp;B-2306</t>
  </si>
  <si>
    <t>Florence 2301A</t>
  </si>
  <si>
    <t>Florence 2301B</t>
  </si>
  <si>
    <t>Florence 2302</t>
  </si>
  <si>
    <t>Florence 2302 &amp; 2303</t>
  </si>
  <si>
    <t>Florence 2302-2304</t>
  </si>
  <si>
    <t>Florence 2302-2305</t>
  </si>
  <si>
    <t>Florence 2302-2306</t>
  </si>
  <si>
    <t>Florence 2303</t>
  </si>
  <si>
    <t>Florence 2303 &amp; 2304</t>
  </si>
  <si>
    <t>Florence 2303-2305</t>
  </si>
  <si>
    <t>Florence 2303-2306</t>
  </si>
  <si>
    <t>Florence 2304</t>
  </si>
  <si>
    <t>Florence 2304 &amp; 2305</t>
  </si>
  <si>
    <t>Florence 2304-2306</t>
  </si>
  <si>
    <t>Florence 2305</t>
  </si>
  <si>
    <t>Florence 2305 &amp; 2306</t>
  </si>
  <si>
    <t>Florence 2306</t>
  </si>
  <si>
    <t>Florence BR Foyer</t>
  </si>
  <si>
    <t>Foyer BR A</t>
  </si>
  <si>
    <t>Foyer BR B</t>
  </si>
  <si>
    <t>Foyer BR C</t>
  </si>
  <si>
    <t>Foyer BR D</t>
  </si>
  <si>
    <t>Foyer BR G</t>
  </si>
  <si>
    <t>Foyer BR J</t>
  </si>
  <si>
    <t>Foyer BR K</t>
  </si>
  <si>
    <t>Foyer BR L</t>
  </si>
  <si>
    <t>Golden Fish</t>
  </si>
  <si>
    <t>Grado Golf</t>
  </si>
  <si>
    <t>Great Hall</t>
  </si>
  <si>
    <t>Hall A Concession Stand</t>
  </si>
  <si>
    <t>Hall A Foyer</t>
  </si>
  <si>
    <t>Hall AB Foyer</t>
  </si>
  <si>
    <t>Hall ABC Foyer</t>
  </si>
  <si>
    <t>Hall B Foyer</t>
  </si>
  <si>
    <t>Hall BC Foyer</t>
  </si>
  <si>
    <t>Hall C Concession Stand</t>
  </si>
  <si>
    <t>Hall C Foyer</t>
  </si>
  <si>
    <t>Hall D Concession Stand</t>
  </si>
  <si>
    <t>Hall D Foyer</t>
  </si>
  <si>
    <t>Hall DE Foyer</t>
  </si>
  <si>
    <t>Hall DEF Foyer</t>
  </si>
  <si>
    <t>Hall E Foyer</t>
  </si>
  <si>
    <t>Hall EF Foyer</t>
  </si>
  <si>
    <t>Hall F Concession Stand</t>
  </si>
  <si>
    <t>Hall F Foyer</t>
  </si>
  <si>
    <t>Imperial House</t>
  </si>
  <si>
    <t>Lagoon</t>
  </si>
  <si>
    <t>Level 1 Pre-Hall Foyer</t>
  </si>
  <si>
    <t>Level 3 Pre-Hall Foyer</t>
  </si>
  <si>
    <t>Lower Ground Foyers</t>
  </si>
  <si>
    <t>Mantova 1 (Bus Cntr Mtg Rm 1)</t>
  </si>
  <si>
    <t>Mantova 2 (Bus Cntr Mtg Rm 2)</t>
  </si>
  <si>
    <t>Mantova 3 (Bus Cntr Mtg Rm 3)</t>
  </si>
  <si>
    <t>Milan 2001 A&amp;B</t>
  </si>
  <si>
    <t>Milan 2001 A&amp;B/2101A</t>
  </si>
  <si>
    <t>Milan 2001 A&amp;B-2002</t>
  </si>
  <si>
    <t>Milan 2001 A&amp;B-2003</t>
  </si>
  <si>
    <t>Milan 2001 A&amp;B-2005</t>
  </si>
  <si>
    <t>Milan 2001 A&amp;B-2006</t>
  </si>
  <si>
    <t>Milan 2001A</t>
  </si>
  <si>
    <t>Milan 2001A&amp;B/2101A&amp;B</t>
  </si>
  <si>
    <t>Milan 2001A&amp;B-2004</t>
  </si>
  <si>
    <t>Milan 2001AB-2 &amp; 2101AB-2</t>
  </si>
  <si>
    <t>Milan 2001AB-3 &amp; 2101AB-3</t>
  </si>
  <si>
    <t>Milan 2001AB-4 &amp; 2101AB-4</t>
  </si>
  <si>
    <t>Milan 2001AB-5 &amp; 2101AB-5</t>
  </si>
  <si>
    <t>Milan 2001B</t>
  </si>
  <si>
    <t>Milan 2001B/2101 A&amp;B</t>
  </si>
  <si>
    <t>Milan 2002</t>
  </si>
  <si>
    <t>Milan 2002 &amp; 2003</t>
  </si>
  <si>
    <t>Milan 2002 &amp; 2102</t>
  </si>
  <si>
    <t>Milan 2002-2004</t>
  </si>
  <si>
    <t>Milan 2002-2005</t>
  </si>
  <si>
    <t>Milan 2002-2006</t>
  </si>
  <si>
    <t>Milan 2002-3 &amp; 2102-3</t>
  </si>
  <si>
    <t>Milan 2002-4 &amp; 2102-4</t>
  </si>
  <si>
    <t>Milan 2002-5 &amp; 2102-5</t>
  </si>
  <si>
    <t>Milan 2002-6 &amp; 2102-6</t>
  </si>
  <si>
    <t>Milan 2003 &amp; 2004</t>
  </si>
  <si>
    <t>Milan 2003 &amp; 2103</t>
  </si>
  <si>
    <t>Milan 2003-2005</t>
  </si>
  <si>
    <t>Milan 2003-2006</t>
  </si>
  <si>
    <t>Milan 2003-4 &amp; 2103-4</t>
  </si>
  <si>
    <t>Milan 2003-5 &amp; 2103-5</t>
  </si>
  <si>
    <t>Milan 2003-6 &amp; 2103-6</t>
  </si>
  <si>
    <t>Milan 2004 &amp; 2005</t>
  </si>
  <si>
    <t>Milan 2004 &amp; 2104</t>
  </si>
  <si>
    <t>Milan 2004-2006</t>
  </si>
  <si>
    <t>Milan 2004-5 &amp; 2104-5</t>
  </si>
  <si>
    <t>Milan 2004-6 &amp; 2104-6</t>
  </si>
  <si>
    <t>Milan 2005 &amp; 2006</t>
  </si>
  <si>
    <t>Milan 2005 &amp; 2105</t>
  </si>
  <si>
    <t>Milan 2005-6 &amp; 2105-6</t>
  </si>
  <si>
    <t>Milan 2006 &amp; 2106</t>
  </si>
  <si>
    <t>Milan 2101 A&amp;B</t>
  </si>
  <si>
    <t>Milan 2101 A&amp;B-2102</t>
  </si>
  <si>
    <t>Milan 2101 A&amp;B-2103</t>
  </si>
  <si>
    <t>Milan 2101 A&amp;B-2104</t>
  </si>
  <si>
    <t>Milan 2101 A&amp;B-2105</t>
  </si>
  <si>
    <t>Milan 2101 A&amp;B-2106</t>
  </si>
  <si>
    <t>Milan 2101A</t>
  </si>
  <si>
    <t>Milan 2101B</t>
  </si>
  <si>
    <t>Milan 2102</t>
  </si>
  <si>
    <t>Milan 2102 &amp; 2103</t>
  </si>
  <si>
    <t>Milan 2102-2104</t>
  </si>
  <si>
    <t>Milan 2102-2105</t>
  </si>
  <si>
    <t>Milan 2102-2106</t>
  </si>
  <si>
    <t>Milan 2103</t>
  </si>
  <si>
    <t>Milan 2103 &amp; 2104</t>
  </si>
  <si>
    <t>Milan 2103-2105</t>
  </si>
  <si>
    <t>Milan 2103-2106</t>
  </si>
  <si>
    <t>Milan 2104</t>
  </si>
  <si>
    <t>Milan 2104 &amp; 2105</t>
  </si>
  <si>
    <t>Milan 2104-2106</t>
  </si>
  <si>
    <t>Milan 2105</t>
  </si>
  <si>
    <t>Milan 2105 &amp; 2106</t>
  </si>
  <si>
    <t>Milan 2106</t>
  </si>
  <si>
    <t>Milan BR Foyer</t>
  </si>
  <si>
    <t>Naples 2601 A&amp;B</t>
  </si>
  <si>
    <t>Naples 2601 A&amp;B/2701 A</t>
  </si>
  <si>
    <t>Naples 2601 A&amp;B/2701 A&amp;B</t>
  </si>
  <si>
    <t>Naples 2601 A&amp;B-2602</t>
  </si>
  <si>
    <t>Naples 2601 A&amp;B-2603</t>
  </si>
  <si>
    <t>Naples 2601 A&amp;B-2604</t>
  </si>
  <si>
    <t>Naples 2601 A&amp;B-2605</t>
  </si>
  <si>
    <t>Naples 2601 A&amp;B-2606</t>
  </si>
  <si>
    <t>Naples 2601 B/2701 A&amp;B</t>
  </si>
  <si>
    <t>Naples 2601A</t>
  </si>
  <si>
    <t>Naples 2601AB-2 &amp; 2701AB-2</t>
  </si>
  <si>
    <t>Naples 2601AB-3 &amp; 2701AB-3</t>
  </si>
  <si>
    <t>Naples 2601AB-4 &amp; 2701AB-4</t>
  </si>
  <si>
    <t>Naples 2601AB-5 &amp; 2701AB-5</t>
  </si>
  <si>
    <t>Naples 2601B</t>
  </si>
  <si>
    <t>Naples 2602</t>
  </si>
  <si>
    <t>Naples 2602 &amp; 2603</t>
  </si>
  <si>
    <t>Naples 2602 &amp; 2702</t>
  </si>
  <si>
    <t>Naples 2602-2604</t>
  </si>
  <si>
    <t>Naples 2602-2605</t>
  </si>
  <si>
    <t>Naples 2602-2606</t>
  </si>
  <si>
    <t>Naples 2602-3 &amp; 2702-3</t>
  </si>
  <si>
    <t>Naples 2602-4 &amp; 2702-4</t>
  </si>
  <si>
    <t>Naples 2602-5 &amp; 2702-5</t>
  </si>
  <si>
    <t>Naples 2602-6 &amp; 2702-6</t>
  </si>
  <si>
    <t>Naples 2603</t>
  </si>
  <si>
    <t>Naples 2603 &amp; 2604</t>
  </si>
  <si>
    <t>Naples 2603 &amp; 2703</t>
  </si>
  <si>
    <t>Naples 2603-2605</t>
  </si>
  <si>
    <t>Naples 2603-2606</t>
  </si>
  <si>
    <t>Naples 2603-4 &amp; 2703-4</t>
  </si>
  <si>
    <t>Naples 2603-5 &amp; 2703-5</t>
  </si>
  <si>
    <t>Naples 2603-6 &amp; 2703-6</t>
  </si>
  <si>
    <t>Naples 2604</t>
  </si>
  <si>
    <t>Naples 2604 &amp; 2605</t>
  </si>
  <si>
    <t>Naples 2604 &amp; 2704</t>
  </si>
  <si>
    <t>Naples 2604-2606</t>
  </si>
  <si>
    <t>Naples 2604-5 &amp; 2704-5</t>
  </si>
  <si>
    <t>Naples 2604-6 &amp; 2704-6</t>
  </si>
  <si>
    <t>Naples 2605</t>
  </si>
  <si>
    <t>Naples 2605 &amp; 2606</t>
  </si>
  <si>
    <t>Naples 2605 &amp; 2705</t>
  </si>
  <si>
    <t>Naples 2605-6 &amp; 2705-6</t>
  </si>
  <si>
    <t>Naples 2606</t>
  </si>
  <si>
    <t>Naples 2606 &amp; 2706</t>
  </si>
  <si>
    <t>Naples 2701 A&amp;B</t>
  </si>
  <si>
    <t>Naples 2701 A&amp;B - 2704</t>
  </si>
  <si>
    <t>Naples 2701 A&amp;B-2702</t>
  </si>
  <si>
    <t>Naples 2701 A&amp;B-2703</t>
  </si>
  <si>
    <t>Naples 2701 A&amp;B-2705</t>
  </si>
  <si>
    <t>Naples 2701 A&amp;B-2706</t>
  </si>
  <si>
    <t>Naples 2701A</t>
  </si>
  <si>
    <t>Naples 2701B</t>
  </si>
  <si>
    <t>Naples 2702</t>
  </si>
  <si>
    <t>Naples 2702 &amp; 2703</t>
  </si>
  <si>
    <t>Naples 2702-2704</t>
  </si>
  <si>
    <t>Naples 2702-2705</t>
  </si>
  <si>
    <t>Naples 2702-2706</t>
  </si>
  <si>
    <t>Naples 2703</t>
  </si>
  <si>
    <t>Naples 2703 &amp; 2704</t>
  </si>
  <si>
    <t>Naples 2703-2705</t>
  </si>
  <si>
    <t>Naples 2703-2706</t>
  </si>
  <si>
    <t>Naples 2704</t>
  </si>
  <si>
    <t>Naples 2704 &amp; 2705</t>
  </si>
  <si>
    <t>Naples 2704-2706</t>
  </si>
  <si>
    <t>Naples 2705</t>
  </si>
  <si>
    <t>Naples 2705 &amp; 2706</t>
  </si>
  <si>
    <t>Naples 2706</t>
  </si>
  <si>
    <t>Naples BR Foyer</t>
  </si>
  <si>
    <t>Non-owned Venue</t>
  </si>
  <si>
    <t>North</t>
  </si>
  <si>
    <t>Off Site</t>
  </si>
  <si>
    <t>Phoenix</t>
  </si>
  <si>
    <t>Pool 1 Palladio</t>
  </si>
  <si>
    <t>Pool 2 Piscina</t>
  </si>
  <si>
    <t>Pool 4 Murano</t>
  </si>
  <si>
    <t>Pool3</t>
  </si>
  <si>
    <t>Porte Cochere</t>
  </si>
  <si>
    <t>Portofino</t>
  </si>
  <si>
    <t>Portofino Patio</t>
  </si>
  <si>
    <t>Red Dragon</t>
  </si>
  <si>
    <t>Sheraton</t>
  </si>
  <si>
    <t>Sicily 2401 A&amp;B</t>
  </si>
  <si>
    <t>Sicily 2401 A&amp;B/ 2501 A&amp;B</t>
  </si>
  <si>
    <t>Sicily 2401 A&amp;B/2501 A</t>
  </si>
  <si>
    <t>Sicily 2401 A&amp;B-2402</t>
  </si>
  <si>
    <t>Sicily 2401 A&amp;B-2403</t>
  </si>
  <si>
    <t>Sicily 2401 A&amp;B-2404</t>
  </si>
  <si>
    <t>Sicily 2401 A&amp;B-2405</t>
  </si>
  <si>
    <t>Sicily 2401 A&amp;B-2406</t>
  </si>
  <si>
    <t>Sicily 2401 B/2501 A&amp;B</t>
  </si>
  <si>
    <t>Sicily 2401A</t>
  </si>
  <si>
    <t>Sicily 2401AB-2 &amp; 2501AB-2</t>
  </si>
  <si>
    <t>Sicily 2401AB-3 &amp; 2501AB-3</t>
  </si>
  <si>
    <t>Sicily 2401AB-4 &amp; 2501AB-4</t>
  </si>
  <si>
    <t>Sicily 2401AB-5 &amp; 2501AB-5</t>
  </si>
  <si>
    <t>Sicily 2401B</t>
  </si>
  <si>
    <t>Sicily 2402</t>
  </si>
  <si>
    <t>Sicily 2402 &amp; 2403</t>
  </si>
  <si>
    <t>Sicily 2402 &amp; 2502</t>
  </si>
  <si>
    <t>Sicily 2402-2404</t>
  </si>
  <si>
    <t>Sicily 2402-2405</t>
  </si>
  <si>
    <t>Sicily 2402-2406</t>
  </si>
  <si>
    <t>Sicily 2402-3 &amp; 2502-3</t>
  </si>
  <si>
    <t>Sicily 2402-4 &amp; 2502-4</t>
  </si>
  <si>
    <t>Sicily 2402-5 &amp; 2502-5</t>
  </si>
  <si>
    <t>Sicily 2402-6 &amp; 2502-6</t>
  </si>
  <si>
    <t>Sicily 2403</t>
  </si>
  <si>
    <t>Sicily 2403 &amp; 2404</t>
  </si>
  <si>
    <t>Sicily 2403 &amp; 2503</t>
  </si>
  <si>
    <t>Sicily 2403-2405</t>
  </si>
  <si>
    <t>Sicily 2403-2406</t>
  </si>
  <si>
    <t>Sicily 2403-4 &amp; 2503-4</t>
  </si>
  <si>
    <t>Sicily 2403-5 &amp; 2503-5</t>
  </si>
  <si>
    <t>Sicily 2403-6 &amp; 2503-6</t>
  </si>
  <si>
    <t>Sicily 2404</t>
  </si>
  <si>
    <t>Sicily 2404 &amp; 2405</t>
  </si>
  <si>
    <t>Sicily 2404 &amp; 2504</t>
  </si>
  <si>
    <t>Sicily 2404-2406</t>
  </si>
  <si>
    <t>Sicily 2404-5 &amp; 2504-5</t>
  </si>
  <si>
    <t>Sicily 2404-6 &amp; 2504-6</t>
  </si>
  <si>
    <t>Sicily 2405</t>
  </si>
  <si>
    <t>Sicily 2405 &amp; 2406</t>
  </si>
  <si>
    <t>Sicily 2405 &amp; 2505</t>
  </si>
  <si>
    <t>Sicily 2405-6 &amp; 2505-6</t>
  </si>
  <si>
    <t>Sicily 2406</t>
  </si>
  <si>
    <t>Sicily 2406 &amp; 2506</t>
  </si>
  <si>
    <t>Sicily 2501 A&amp;B</t>
  </si>
  <si>
    <t>Sicily 2501 A&amp;B-2502</t>
  </si>
  <si>
    <t>Sicily 2501 A&amp;B-2503</t>
  </si>
  <si>
    <t>Sicily 2501 A&amp;B-2504</t>
  </si>
  <si>
    <t>Sicily 2501 A&amp;B-2505</t>
  </si>
  <si>
    <t>Sicily 2501 A&amp;B-2506</t>
  </si>
  <si>
    <t>Sicily 2501A</t>
  </si>
  <si>
    <t>Sicily 2501B</t>
  </si>
  <si>
    <t>Sicily 2502</t>
  </si>
  <si>
    <t>Sicily 2502 &amp; 2503</t>
  </si>
  <si>
    <t>Sicily 2502-2504</t>
  </si>
  <si>
    <t>Sicily 2502-2505</t>
  </si>
  <si>
    <t>Sicily 2502-2506</t>
  </si>
  <si>
    <t>Sicily 2503</t>
  </si>
  <si>
    <t>Sicily 2503 &amp; 2504</t>
  </si>
  <si>
    <t>Sicily 2503-2505</t>
  </si>
  <si>
    <t>Sicily 2503-2506</t>
  </si>
  <si>
    <t>Sicily 2504</t>
  </si>
  <si>
    <t>Sicily 2504 &amp; 2505</t>
  </si>
  <si>
    <t>Sicily 2504-2506</t>
  </si>
  <si>
    <t>Sicily 2505</t>
  </si>
  <si>
    <t>Sicily 2505 &amp; 2506</t>
  </si>
  <si>
    <t>Sicily 2506</t>
  </si>
  <si>
    <t>Sicily BR Foyer</t>
  </si>
  <si>
    <t>Spirito</t>
  </si>
  <si>
    <t>St. Mark's Square</t>
  </si>
  <si>
    <t>Suite</t>
  </si>
  <si>
    <t>Theatre Foyer</t>
  </si>
  <si>
    <t>Torino 1201</t>
  </si>
  <si>
    <t>Torino 1201 &amp; 1202</t>
  </si>
  <si>
    <t>Torino 1201 &amp; 1301</t>
  </si>
  <si>
    <t>Torino 1201-1203</t>
  </si>
  <si>
    <t>Torino 1201-1204</t>
  </si>
  <si>
    <t>Torino 1201-1205</t>
  </si>
  <si>
    <t>Torino 1201-1206</t>
  </si>
  <si>
    <t>Torino 1201-2 &amp; 1301-2</t>
  </si>
  <si>
    <t>Torino 1201-3 &amp; 1301-3</t>
  </si>
  <si>
    <t>Torino 1201-4 &amp; 1301-4</t>
  </si>
  <si>
    <t>Torino 1201-5 &amp; 1301-5</t>
  </si>
  <si>
    <t>Torino 1202</t>
  </si>
  <si>
    <t>Torino 1202 &amp; 1203</t>
  </si>
  <si>
    <t>Torino 1202 &amp; 1302</t>
  </si>
  <si>
    <t>Torino 1202-1204</t>
  </si>
  <si>
    <t>Torino 1202-1205</t>
  </si>
  <si>
    <t>Torino 1202-1206</t>
  </si>
  <si>
    <t>Torino 1202-3 &amp; 1302-3</t>
  </si>
  <si>
    <t>Torino 1202-4 &amp; 1302-4</t>
  </si>
  <si>
    <t>Torino 1202-5 &amp; 1302-5</t>
  </si>
  <si>
    <t>Torino 1202-6 &amp; 1302-6</t>
  </si>
  <si>
    <t>Torino 1203</t>
  </si>
  <si>
    <t>Torino 1203 &amp; 1204</t>
  </si>
  <si>
    <t>Torino 1203 &amp; 1303</t>
  </si>
  <si>
    <t>Torino 1203-1205</t>
  </si>
  <si>
    <t>Torino 1203-1206</t>
  </si>
  <si>
    <t>Torino 1203-4 &amp; 1303-4</t>
  </si>
  <si>
    <t>Torino 1203-5 &amp; 1303-5</t>
  </si>
  <si>
    <t>Torino 1203-6 &amp; 1303-6</t>
  </si>
  <si>
    <t>Torino 1204</t>
  </si>
  <si>
    <t>Torino 1204 &amp; 1205</t>
  </si>
  <si>
    <t>Torino 1204 &amp; 1304</t>
  </si>
  <si>
    <t>Torino 1204-1206</t>
  </si>
  <si>
    <t>Torino 1204-5 &amp; 1304-5</t>
  </si>
  <si>
    <t>Torino 1204-6 &amp; 1304-6</t>
  </si>
  <si>
    <t>Torino 1205</t>
  </si>
  <si>
    <t>Torino 1205 &amp; 1206</t>
  </si>
  <si>
    <t>Torino 1205 &amp; 1305</t>
  </si>
  <si>
    <t>Torino 1205-6 &amp; 1305-6</t>
  </si>
  <si>
    <t>Torino 1206</t>
  </si>
  <si>
    <t>Torino 1206 &amp; 1306</t>
  </si>
  <si>
    <t>Torino 1301</t>
  </si>
  <si>
    <t>Torino 1301 &amp; 1302</t>
  </si>
  <si>
    <t>Torino 1301-1303</t>
  </si>
  <si>
    <t>Torino 1301-1304</t>
  </si>
  <si>
    <t>Torino 1301-1305</t>
  </si>
  <si>
    <t>Torino 1301-1306</t>
  </si>
  <si>
    <t>Torino 1302</t>
  </si>
  <si>
    <t>Torino 1302 &amp; 1303</t>
  </si>
  <si>
    <t>Torino 1302-1304</t>
  </si>
  <si>
    <t>Torino 1302-1305</t>
  </si>
  <si>
    <t>Torino 1302-1306</t>
  </si>
  <si>
    <t>Torino 1303</t>
  </si>
  <si>
    <t>Torino 1303 &amp; 1304</t>
  </si>
  <si>
    <t>Torino 1303-1305</t>
  </si>
  <si>
    <t>Torino 1303-1306</t>
  </si>
  <si>
    <t>Torino 1304</t>
  </si>
  <si>
    <t>Torino 1304 &amp; 1305</t>
  </si>
  <si>
    <t>Torino 1304-1306</t>
  </si>
  <si>
    <t>Torino 1305</t>
  </si>
  <si>
    <t>Torino 1305 &amp; 1306</t>
  </si>
  <si>
    <t>Torino 1306</t>
  </si>
  <si>
    <t>Torino BR Foyer</t>
  </si>
  <si>
    <t>Venetian Theatre</t>
  </si>
  <si>
    <t>Verona 1401</t>
  </si>
  <si>
    <t>Verona 1401 &amp; 1402</t>
  </si>
  <si>
    <t>Verona 1401 &amp; 1501</t>
  </si>
  <si>
    <t>Verona 1401-1403</t>
  </si>
  <si>
    <t>Verona 1401-1404</t>
  </si>
  <si>
    <t>Verona 1401-1405</t>
  </si>
  <si>
    <t>Verona 1401-1406</t>
  </si>
  <si>
    <t>Verona 1401-2 &amp; 1501-2</t>
  </si>
  <si>
    <t>Verona 1401-3 &amp; 1501-3</t>
  </si>
  <si>
    <t>Verona 1401-4 &amp; 1501-4</t>
  </si>
  <si>
    <t>Verona 1401-5 &amp; 1501-5</t>
  </si>
  <si>
    <t>Verona 1402</t>
  </si>
  <si>
    <t>Verona 1402 &amp; 1403</t>
  </si>
  <si>
    <t>Verona 1402 &amp; 1502</t>
  </si>
  <si>
    <t>Verona 1402-1404</t>
  </si>
  <si>
    <t>Verona 1402-1405</t>
  </si>
  <si>
    <t>Verona 1402-1406</t>
  </si>
  <si>
    <t>Verona 1402-3 &amp; 1502-3</t>
  </si>
  <si>
    <t>Verona 1402-4 &amp; 1502-4</t>
  </si>
  <si>
    <t>Verona 1402-5 &amp; 1502-5</t>
  </si>
  <si>
    <t>Verona 1402-6 &amp; 1502-6</t>
  </si>
  <si>
    <t>Verona 1403</t>
  </si>
  <si>
    <t>Verona 1403 &amp; 1404</t>
  </si>
  <si>
    <t>Verona 1403 &amp; 1503</t>
  </si>
  <si>
    <t>Verona 1403-1405</t>
  </si>
  <si>
    <t>Verona 1403-1406</t>
  </si>
  <si>
    <t>Verona 1403-4 &amp; 1503-4</t>
  </si>
  <si>
    <t>Verona 1403-5 &amp; 1503-5</t>
  </si>
  <si>
    <t>Verona 1403-6 &amp; 1503-6</t>
  </si>
  <si>
    <t>Verona 1404</t>
  </si>
  <si>
    <t>Verona 1404 &amp; 1405</t>
  </si>
  <si>
    <t>Verona 1404 &amp; 1504</t>
  </si>
  <si>
    <t>Verona 1404-1406</t>
  </si>
  <si>
    <t>Verona 1404-5 &amp; 1504-5</t>
  </si>
  <si>
    <t>Verona 1404-6 &amp; 1504-6</t>
  </si>
  <si>
    <t>Verona 1405</t>
  </si>
  <si>
    <t>Verona 1405 &amp; 1406</t>
  </si>
  <si>
    <t>Verona 1405 &amp; 1505</t>
  </si>
  <si>
    <t>Verona 1405-6 &amp; 1505-6</t>
  </si>
  <si>
    <t>Verona 1406</t>
  </si>
  <si>
    <t>Verona 1406 &amp; 1506</t>
  </si>
  <si>
    <t>Verona 1501</t>
  </si>
  <si>
    <t>Verona 1501 &amp; 1502</t>
  </si>
  <si>
    <t>Verona 1501-1503</t>
  </si>
  <si>
    <t>Verona 1501-1504</t>
  </si>
  <si>
    <t>Verona 1501-1505</t>
  </si>
  <si>
    <t>Verona 1501-1506</t>
  </si>
  <si>
    <t>Verona 1502</t>
  </si>
  <si>
    <t>Verona 1502 &amp; 1503</t>
  </si>
  <si>
    <t>Verona 1502-1504</t>
  </si>
  <si>
    <t>Verona 1502-1505</t>
  </si>
  <si>
    <t>Verona 1502-1506</t>
  </si>
  <si>
    <t>Verona 1503</t>
  </si>
  <si>
    <t>Verona 1503 &amp; 1504</t>
  </si>
  <si>
    <t>Verona 1503-1505</t>
  </si>
  <si>
    <t>Verona 1503-1506</t>
  </si>
  <si>
    <t>Verona 1504</t>
  </si>
  <si>
    <t>Verona 1504 &amp; 1505</t>
  </si>
  <si>
    <t>Verona 1504-1506</t>
  </si>
  <si>
    <t>Verona 1505</t>
  </si>
  <si>
    <t>Verona 1505 &amp; 1506</t>
  </si>
  <si>
    <t>Verona 1506</t>
  </si>
  <si>
    <t>Verona BR Foyer</t>
  </si>
  <si>
    <t>West Lobby</t>
  </si>
  <si>
    <t>Business Center Boardroom</t>
  </si>
  <si>
    <t>Conrad Club Lounge</t>
  </si>
  <si>
    <t>Conrad Porte Cochere</t>
  </si>
  <si>
    <t>Do Mar</t>
  </si>
  <si>
    <t>Dunhuang 4401 A&amp;B</t>
  </si>
  <si>
    <t>Dunhuang 4401 A&amp;B-4402</t>
  </si>
  <si>
    <t>Dunhuang 4401 A&amp;B-4403</t>
  </si>
  <si>
    <t>Dunhuang 4401 A&amp;B-4404</t>
  </si>
  <si>
    <t>Dunhuang 4401 A&amp;B-4405</t>
  </si>
  <si>
    <t>Dunhuang 4401 A&amp;B-4406</t>
  </si>
  <si>
    <t>Dunhuang 4401 A&amp;B-4407</t>
  </si>
  <si>
    <t>Dunhuang 4401 A&amp;B-4501 A</t>
  </si>
  <si>
    <t>Dunhuang 4401 A&amp;B-4501 A&amp;B</t>
  </si>
  <si>
    <t>Dunhuang 4401 A&amp;B-4502</t>
  </si>
  <si>
    <t>Dunhuang 4401 A&amp;B-4503</t>
  </si>
  <si>
    <t>Dunhuang 4401 A&amp;B-4504</t>
  </si>
  <si>
    <t>Dunhuang 4401 A&amp;B-4505</t>
  </si>
  <si>
    <t>Dunhuang 4401 A&amp;B-4506</t>
  </si>
  <si>
    <t>Dunhuang 4401 B-4501 A&amp;B</t>
  </si>
  <si>
    <t>Dunhuang 4401A</t>
  </si>
  <si>
    <t>Dunhuang 4401B</t>
  </si>
  <si>
    <t>Dunhuang 4402</t>
  </si>
  <si>
    <t>Dunhuang 4402 &amp; 4403</t>
  </si>
  <si>
    <t>Dunhuang 4402 &amp; 4502</t>
  </si>
  <si>
    <t>Dunhuang 4402-4404</t>
  </si>
  <si>
    <t>Dunhuang 4402-4405</t>
  </si>
  <si>
    <t>Dunhuang 4402-4406</t>
  </si>
  <si>
    <t>Dunhuang 4402-4407</t>
  </si>
  <si>
    <t>Dunhuang 4402-4503</t>
  </si>
  <si>
    <t>Dunhuang 4402-4504</t>
  </si>
  <si>
    <t>Dunhuang 4402-4505</t>
  </si>
  <si>
    <t>Dunhuang 4402-4506</t>
  </si>
  <si>
    <t>Dunhuang 4402-4507</t>
  </si>
  <si>
    <t>Dunhuang 4403</t>
  </si>
  <si>
    <t>Dunhuang 4403 &amp; 4404</t>
  </si>
  <si>
    <t>Dunhuang 4403 &amp; 4503</t>
  </si>
  <si>
    <t>Dunhuang 4403-4405</t>
  </si>
  <si>
    <t>Dunhuang 4403-4406</t>
  </si>
  <si>
    <t>Dunhuang 4403-4407</t>
  </si>
  <si>
    <t>Dunhuang 4403-4504</t>
  </si>
  <si>
    <t>Dunhuang 4403-4505</t>
  </si>
  <si>
    <t>Dunhuang 4403-4506</t>
  </si>
  <si>
    <t>Dunhuang 4403-4507</t>
  </si>
  <si>
    <t>Dunhuang 4404</t>
  </si>
  <si>
    <t>Dunhuang 4404 &amp; 4405</t>
  </si>
  <si>
    <t>Dunhuang 4404 &amp; 4504</t>
  </si>
  <si>
    <t>Dunhuang 4404-4406</t>
  </si>
  <si>
    <t>Dunhuang 4404-4407</t>
  </si>
  <si>
    <t>Dunhuang 4404-4505</t>
  </si>
  <si>
    <t>Dunhuang 4404-4506</t>
  </si>
  <si>
    <t>Dunhuang 4404-4507</t>
  </si>
  <si>
    <t>Dunhuang 4405</t>
  </si>
  <si>
    <t>Dunhuang 4405 &amp; 4406</t>
  </si>
  <si>
    <t>Dunhuang 4405 &amp; 4505</t>
  </si>
  <si>
    <t>Dunhuang 4405-4407</t>
  </si>
  <si>
    <t>Dunhuang 4405-4506</t>
  </si>
  <si>
    <t>Dunhuang 4405-4507</t>
  </si>
  <si>
    <t>Dunhuang 4406</t>
  </si>
  <si>
    <t>Dunhuang 4406 &amp; 4407</t>
  </si>
  <si>
    <t>Dunhuang 4406 &amp; 4506</t>
  </si>
  <si>
    <t>Dunhuang 4406-4507</t>
  </si>
  <si>
    <t>Dunhuang 4407</t>
  </si>
  <si>
    <t>Dunhuang 4407 &amp; 4507</t>
  </si>
  <si>
    <t>Dunhuang 4501 A&amp;B</t>
  </si>
  <si>
    <t>Dunhuang 4501 A&amp;B-4502</t>
  </si>
  <si>
    <t>Dunhuang 4501 A&amp;B-4503</t>
  </si>
  <si>
    <t>Dunhuang 4501 A&amp;B-4504</t>
  </si>
  <si>
    <t>Dunhuang 4501 A&amp;B-4505</t>
  </si>
  <si>
    <t>Dunhuang 4501 A&amp;B-4506</t>
  </si>
  <si>
    <t>Dunhuang 4501 A&amp;B-4507</t>
  </si>
  <si>
    <t>Dunhuang 4501A</t>
  </si>
  <si>
    <t>Dunhuang 4501B</t>
  </si>
  <si>
    <t>Dunhuang 4502</t>
  </si>
  <si>
    <t>Dunhuang 4502 &amp; 4503</t>
  </si>
  <si>
    <t>Dunhuang 4502-4504</t>
  </si>
  <si>
    <t>Dunhuang 4502-4505</t>
  </si>
  <si>
    <t>Dunhuang 4502-4506</t>
  </si>
  <si>
    <t>Dunhuang 4502-4507</t>
  </si>
  <si>
    <t>Dunhuang 4503</t>
  </si>
  <si>
    <t>Dunhuang 4503 &amp; 4504</t>
  </si>
  <si>
    <t>Dunhuang 4503-4505</t>
  </si>
  <si>
    <t>Dunhuang 4503-4506</t>
  </si>
  <si>
    <t>Dunhuang 4503-4507</t>
  </si>
  <si>
    <t>Dunhuang 4504</t>
  </si>
  <si>
    <t>Dunhuang 4504 &amp; 4505</t>
  </si>
  <si>
    <t>Dunhuang 4504-4506</t>
  </si>
  <si>
    <t>Dunhuang 4504-4507</t>
  </si>
  <si>
    <t>Dunhuang 4505</t>
  </si>
  <si>
    <t>Dunhuang 4505 &amp; 4506</t>
  </si>
  <si>
    <t>Dunhuang 4505-4507</t>
  </si>
  <si>
    <t>Dunhuang 4506</t>
  </si>
  <si>
    <t>Dunhuang 4506 &amp; 4507</t>
  </si>
  <si>
    <t>Dunhuang 4507</t>
  </si>
  <si>
    <t>Dunhuang Ballroom</t>
  </si>
  <si>
    <t>Dunhuang Foyer</t>
  </si>
  <si>
    <t>Dynasty 8</t>
  </si>
  <si>
    <t>Grand Orbit</t>
  </si>
  <si>
    <t>Guestroom</t>
  </si>
  <si>
    <t>Himalaya Casino</t>
  </si>
  <si>
    <t>Holiday Inn Lobby Lounge</t>
  </si>
  <si>
    <t>Holiday Inn Pool Deck</t>
  </si>
  <si>
    <t>Holiday Inn Porte Cochere</t>
  </si>
  <si>
    <t>L4 Event Foyer</t>
  </si>
  <si>
    <t>Loulan 4001 A&amp;B</t>
  </si>
  <si>
    <t>Loulan 4001 A&amp;B-4002</t>
  </si>
  <si>
    <t>Loulan 4001 A&amp;B-4003</t>
  </si>
  <si>
    <t>Loulan 4001 A&amp;B-4004</t>
  </si>
  <si>
    <t>Loulan 4001 A&amp;B-4005</t>
  </si>
  <si>
    <t>Loulan 4001 A&amp;B-4006</t>
  </si>
  <si>
    <t>Loulan 4001 A&amp;B-4007</t>
  </si>
  <si>
    <t>Loulan 4001 A&amp;B-4101 A</t>
  </si>
  <si>
    <t>Loulan 4001 A&amp;B-4101 A&amp;B</t>
  </si>
  <si>
    <t>Loulan 4001 A&amp;B-4103</t>
  </si>
  <si>
    <t>Loulan 4001 A&amp;B-4104</t>
  </si>
  <si>
    <t>Loulan 4001 A&amp;B-4105</t>
  </si>
  <si>
    <t>Loulan 4001 A&amp;B-4106</t>
  </si>
  <si>
    <t>Loulan 4001 B-4101 A&amp;B</t>
  </si>
  <si>
    <t>Loulan 4001A</t>
  </si>
  <si>
    <t>Loulan 4001AB-2 &amp; 4101AB-2</t>
  </si>
  <si>
    <t>Loulan 4001B</t>
  </si>
  <si>
    <t>Loulan 4002</t>
  </si>
  <si>
    <t>Loulan 4002 &amp; 4003</t>
  </si>
  <si>
    <t>Loulan 4002 &amp; 4102</t>
  </si>
  <si>
    <t>Loulan 4002-4004</t>
  </si>
  <si>
    <t>Loulan 4002-4005</t>
  </si>
  <si>
    <t>Loulan 4002-4006</t>
  </si>
  <si>
    <t>Loulan 4002-4007</t>
  </si>
  <si>
    <t>Loulan 4002-4103</t>
  </si>
  <si>
    <t>Loulan 4002-4104</t>
  </si>
  <si>
    <t>Loulan 4002-4105</t>
  </si>
  <si>
    <t>Loulan 4002-4106</t>
  </si>
  <si>
    <t>Loulan 4002-4107</t>
  </si>
  <si>
    <t>Loulan 4003</t>
  </si>
  <si>
    <t>Loulan 4003 &amp; 4004</t>
  </si>
  <si>
    <t>Loulan 4003 &amp; 4103</t>
  </si>
  <si>
    <t>Loulan 4003-4005</t>
  </si>
  <si>
    <t>Loulan 4003-4006</t>
  </si>
  <si>
    <t>Loulan 4003-4007</t>
  </si>
  <si>
    <t>Loulan 4003-4104</t>
  </si>
  <si>
    <t>Loulan 4003-4105</t>
  </si>
  <si>
    <t>Loulan 4003-4106</t>
  </si>
  <si>
    <t>Loulan 4003-4107</t>
  </si>
  <si>
    <t>Loulan 4004</t>
  </si>
  <si>
    <t>Loulan 4004 &amp; 4005</t>
  </si>
  <si>
    <t>Loulan 4004 &amp; 4104</t>
  </si>
  <si>
    <t>Loulan 4004-4006</t>
  </si>
  <si>
    <t>Loulan 4004-4007</t>
  </si>
  <si>
    <t>Loulan 4004-4105</t>
  </si>
  <si>
    <t>Loulan 4004-4106</t>
  </si>
  <si>
    <t>Loulan 4004-4107</t>
  </si>
  <si>
    <t>Loulan 4005</t>
  </si>
  <si>
    <t>Loulan 4005 &amp; 4006</t>
  </si>
  <si>
    <t>Loulan 4005 &amp; 4105</t>
  </si>
  <si>
    <t>Loulan 4005-4007</t>
  </si>
  <si>
    <t>Loulan 4005-4106</t>
  </si>
  <si>
    <t>Loulan 4005-4107</t>
  </si>
  <si>
    <t>Loulan 4006</t>
  </si>
  <si>
    <t>Loulan 4006 &amp; 4007</t>
  </si>
  <si>
    <t>Loulan 4006 &amp; 4106</t>
  </si>
  <si>
    <t>Loulan 4006-4107</t>
  </si>
  <si>
    <t>Loulan 4007</t>
  </si>
  <si>
    <t>Loulan 4007 &amp; 4107</t>
  </si>
  <si>
    <t>Loulan 4101 A&amp;B</t>
  </si>
  <si>
    <t>Loulan 4101 A&amp;B-4102</t>
  </si>
  <si>
    <t>Loulan 4101 A&amp;B-4103</t>
  </si>
  <si>
    <t>Loulan 4101 A&amp;B-4104</t>
  </si>
  <si>
    <t>Loulan 4101 A&amp;B-4105</t>
  </si>
  <si>
    <t>Loulan 4101 A&amp;B-4106</t>
  </si>
  <si>
    <t>Loulan 4101 A&amp;B-4107</t>
  </si>
  <si>
    <t>Loulan 4101A</t>
  </si>
  <si>
    <t>Loulan 4101B</t>
  </si>
  <si>
    <t>Loulan 4102</t>
  </si>
  <si>
    <t>Loulan 4102 &amp; 4103</t>
  </si>
  <si>
    <t>Loulan 4102-4104</t>
  </si>
  <si>
    <t>Loulan 4102-4105</t>
  </si>
  <si>
    <t>Loulan 4102-4106</t>
  </si>
  <si>
    <t>Loulan 4102-4107</t>
  </si>
  <si>
    <t>Loulan 4103</t>
  </si>
  <si>
    <t>Loulan 4103 &amp; 4104</t>
  </si>
  <si>
    <t>Loulan 4103-4105</t>
  </si>
  <si>
    <t>Loulan 4103-4106</t>
  </si>
  <si>
    <t>Loulan 4103-4107</t>
  </si>
  <si>
    <t>Loulan 4104</t>
  </si>
  <si>
    <t>Loulan 4104 &amp; 4105</t>
  </si>
  <si>
    <t>Loulan 4104-4106</t>
  </si>
  <si>
    <t>Loulan 4104-4107</t>
  </si>
  <si>
    <t>Loulan 4105</t>
  </si>
  <si>
    <t>Loulan 4105 &amp; 4106</t>
  </si>
  <si>
    <t>Loulan 4105-4107</t>
  </si>
  <si>
    <t>Loulan 4106</t>
  </si>
  <si>
    <t>Loulan 4106 &amp; 4107</t>
  </si>
  <si>
    <t>Loulan 4107</t>
  </si>
  <si>
    <t>Loulan Ballroom</t>
  </si>
  <si>
    <t>Loulan Foyer</t>
  </si>
  <si>
    <t>Offsite</t>
  </si>
  <si>
    <t>Paradise Garden</t>
  </si>
  <si>
    <t>Shoppes Cotai Central</t>
  </si>
  <si>
    <t>Sofia 41</t>
  </si>
  <si>
    <t>Sofia 414</t>
  </si>
  <si>
    <t>Sofia 414-415</t>
  </si>
  <si>
    <t>Sofia 415</t>
  </si>
  <si>
    <t>Sofia 416</t>
  </si>
  <si>
    <t>Sofia 42</t>
  </si>
  <si>
    <t>The Lounge</t>
  </si>
  <si>
    <t>Turfan 4201 A&amp;B</t>
  </si>
  <si>
    <t>Turfan 4201 A&amp;B-4202</t>
  </si>
  <si>
    <t>Turfan 4201 A&amp;B-4203</t>
  </si>
  <si>
    <t>Turfan 4201 A&amp;B-4204</t>
  </si>
  <si>
    <t>Turfan 4201 A&amp;B-4205</t>
  </si>
  <si>
    <t>Turfan 4201 A&amp;B-4206</t>
  </si>
  <si>
    <t>Turfan 4201 A&amp;B-4207</t>
  </si>
  <si>
    <t>Turfan 4201 A&amp;B-4301 A</t>
  </si>
  <si>
    <t>Turfan 4201 A&amp;B-4301 A&amp;B</t>
  </si>
  <si>
    <t>Turfan 4201 A&amp;B-4303</t>
  </si>
  <si>
    <t>Turfan 4201 A&amp;B-4304</t>
  </si>
  <si>
    <t>Turfan 4201 A&amp;B-4305</t>
  </si>
  <si>
    <t>Turfan 4201 A&amp;B-4306</t>
  </si>
  <si>
    <t>Turfan 4201 B-4301 A&amp;B</t>
  </si>
  <si>
    <t>Turfan 4201A</t>
  </si>
  <si>
    <t>Turfan 4201AB-2 &amp; 4301AB-2</t>
  </si>
  <si>
    <t>Turfan 4201B</t>
  </si>
  <si>
    <t>Turfan 4202</t>
  </si>
  <si>
    <t>Turfan 4202 &amp; 4203</t>
  </si>
  <si>
    <t>Turfan 4202 &amp; 4302</t>
  </si>
  <si>
    <t>Turfan 4202-4204</t>
  </si>
  <si>
    <t>Turfan 4202-4205</t>
  </si>
  <si>
    <t>Turfan 4202-4206</t>
  </si>
  <si>
    <t>Turfan 4202-4207</t>
  </si>
  <si>
    <t>Turfan 4202-4303</t>
  </si>
  <si>
    <t>Turfan 4202-4304</t>
  </si>
  <si>
    <t>Turfan 4202-4305</t>
  </si>
  <si>
    <t>Turfan 4202-4306</t>
  </si>
  <si>
    <t>Turfan 4202-4307</t>
  </si>
  <si>
    <t>Turfan 4203</t>
  </si>
  <si>
    <t>Turfan 4203 &amp; 4204</t>
  </si>
  <si>
    <t>Turfan 4203 &amp; 4303</t>
  </si>
  <si>
    <t>Turfan 4203-4205</t>
  </si>
  <si>
    <t>Turfan 4203-4206</t>
  </si>
  <si>
    <t>Turfan 4203-4207</t>
  </si>
  <si>
    <t>Turfan 4203-4304</t>
  </si>
  <si>
    <t>Turfan 4203-4305</t>
  </si>
  <si>
    <t>Turfan 4203-4306</t>
  </si>
  <si>
    <t>Turfan 4203-4307</t>
  </si>
  <si>
    <t>Turfan 4204</t>
  </si>
  <si>
    <t>Turfan 4204 &amp; 4205</t>
  </si>
  <si>
    <t>Turfan 4204 &amp; 4304</t>
  </si>
  <si>
    <t>Turfan 4204-4206</t>
  </si>
  <si>
    <t>Turfan 4204-4207</t>
  </si>
  <si>
    <t>Turfan 4204-4305</t>
  </si>
  <si>
    <t>Turfan 4204-4306</t>
  </si>
  <si>
    <t>Turfan 4204-4307</t>
  </si>
  <si>
    <t>Turfan 4205</t>
  </si>
  <si>
    <t>Turfan 4205 &amp; 4206</t>
  </si>
  <si>
    <t>Turfan 4205 &amp; 4305</t>
  </si>
  <si>
    <t>Turfan 4205-4207</t>
  </si>
  <si>
    <t>Turfan 4205-4306</t>
  </si>
  <si>
    <t>Turfan 4205-4307</t>
  </si>
  <si>
    <t>Turfan 4206</t>
  </si>
  <si>
    <t>Turfan 4206 &amp; 4207</t>
  </si>
  <si>
    <t>Turfan 4206 &amp; 4306</t>
  </si>
  <si>
    <t>Turfan 4206-4307</t>
  </si>
  <si>
    <t>Turfan 4207</t>
  </si>
  <si>
    <t>Turfan 4207 &amp; 4307</t>
  </si>
  <si>
    <t>Turfan 4301 A&amp;B</t>
  </si>
  <si>
    <t>Turfan 4301 A&amp;B-4302</t>
  </si>
  <si>
    <t>Turfan 4301 A&amp;B-4303</t>
  </si>
  <si>
    <t>Turfan 4301 A&amp;B-4304</t>
  </si>
  <si>
    <t>Turfan 4301 A&amp;B-4305</t>
  </si>
  <si>
    <t>Turfan 4301 A&amp;B-4306</t>
  </si>
  <si>
    <t>Turfan 4301 A&amp;B-4307</t>
  </si>
  <si>
    <t>Turfan 4301A</t>
  </si>
  <si>
    <t>Turfan 4301B</t>
  </si>
  <si>
    <t>Turfan 4302</t>
  </si>
  <si>
    <t>Turfan 4302 &amp; 4303</t>
  </si>
  <si>
    <t>Turfan 4302-4304</t>
  </si>
  <si>
    <t>Turfan 4302-4305</t>
  </si>
  <si>
    <t>Turfan 4302-4306</t>
  </si>
  <si>
    <t>Turfan 4302-4307</t>
  </si>
  <si>
    <t>Turfan 4303</t>
  </si>
  <si>
    <t>Turfan 4303 &amp; 4304</t>
  </si>
  <si>
    <t>Turfan 4303-4305</t>
  </si>
  <si>
    <t>Turfan 4303-4306</t>
  </si>
  <si>
    <t>Turfan 4303-4307</t>
  </si>
  <si>
    <t>Turfan 4304</t>
  </si>
  <si>
    <t>Turfan 4304 &amp; 4305</t>
  </si>
  <si>
    <t>Turfan 4304-4306</t>
  </si>
  <si>
    <t>Turfan 4304-4307</t>
  </si>
  <si>
    <t>Turfan 4305</t>
  </si>
  <si>
    <t>Turfan 4305 &amp; 4306</t>
  </si>
  <si>
    <t>Turfan 4305-4307</t>
  </si>
  <si>
    <t>Turfan 4306</t>
  </si>
  <si>
    <t>Turfan 4306 &amp; 4307</t>
  </si>
  <si>
    <t>Turfan 4307</t>
  </si>
  <si>
    <t>Turfan Ballroom</t>
  </si>
  <si>
    <t>Turfan Foyer</t>
  </si>
  <si>
    <t>Yum Cha</t>
  </si>
  <si>
    <t xml:space="preserve">Loulan  4001B&amp;4101A  </t>
  </si>
  <si>
    <t xml:space="preserve">Turfan  4201B&amp;4301A  </t>
  </si>
  <si>
    <t xml:space="preserve">Dunhuang  4401B&amp;4501A  </t>
  </si>
  <si>
    <t>Parisian 7001A</t>
  </si>
  <si>
    <t>Parisian 7001B</t>
  </si>
  <si>
    <t>Parisian 7002</t>
  </si>
  <si>
    <t>Parisian 7003</t>
  </si>
  <si>
    <t>Parisian 7004</t>
  </si>
  <si>
    <t>Parisian 7005</t>
  </si>
  <si>
    <t>Parisian 7101A</t>
  </si>
  <si>
    <t>Parisian 7101B</t>
  </si>
  <si>
    <t>Parisian 7102</t>
  </si>
  <si>
    <t>Parisian 7103</t>
  </si>
  <si>
    <t>Parisian 7104</t>
  </si>
  <si>
    <t>Parisian 7105</t>
  </si>
  <si>
    <t>Parisian 7201A</t>
  </si>
  <si>
    <t>Parisian 7201B</t>
  </si>
  <si>
    <t>Parisian 7202</t>
  </si>
  <si>
    <t>Parisian 7203</t>
  </si>
  <si>
    <t>Parisian 7204</t>
  </si>
  <si>
    <t>Parisian 7205</t>
  </si>
  <si>
    <t>Parisian 7301A</t>
  </si>
  <si>
    <t>Parisian 7301B</t>
  </si>
  <si>
    <t>Parisian 7302</t>
  </si>
  <si>
    <t>Parisian 7303</t>
  </si>
  <si>
    <t>Parisian 7304</t>
  </si>
  <si>
    <t>Parisian 7305</t>
  </si>
  <si>
    <t>Parisian 7401A</t>
  </si>
  <si>
    <t>Parisian 7401B</t>
  </si>
  <si>
    <t>Parisian 7402</t>
  </si>
  <si>
    <t>Parisian 7403</t>
  </si>
  <si>
    <t>Parisian 7404</t>
  </si>
  <si>
    <t>Parisian 7405</t>
  </si>
  <si>
    <t>Parisian 7501A</t>
  </si>
  <si>
    <t>Parisian 7501B</t>
  </si>
  <si>
    <t>Parisian 7502</t>
  </si>
  <si>
    <t>Parisian 7503</t>
  </si>
  <si>
    <t>Parisian 7504</t>
  </si>
  <si>
    <t>Parisian 7505</t>
  </si>
  <si>
    <t xml:space="preserve">Bordeaux 7-4 </t>
  </si>
  <si>
    <t xml:space="preserve">Bordeaux 7-5 </t>
  </si>
  <si>
    <t xml:space="preserve">Bordeaux 7-6 </t>
  </si>
  <si>
    <t>North Corridor</t>
  </si>
  <si>
    <t>South Corridor</t>
  </si>
  <si>
    <t>North Foyer</t>
  </si>
  <si>
    <t>South Foyer</t>
  </si>
  <si>
    <t>Brasserie</t>
  </si>
  <si>
    <t>La Chine</t>
  </si>
  <si>
    <t>Le Buffet</t>
  </si>
  <si>
    <t>Lotus Palace</t>
  </si>
  <si>
    <t>Parisian Theatre</t>
  </si>
  <si>
    <t>Pool Bar</t>
  </si>
  <si>
    <t>Shoppes Parisian</t>
  </si>
  <si>
    <t xml:space="preserve">Bordeaux 7-2 </t>
  </si>
  <si>
    <t>Bordeaux 7-7</t>
  </si>
  <si>
    <t>Parisian 7001AB</t>
  </si>
  <si>
    <t>Parisian 7001AB-7003</t>
  </si>
  <si>
    <t>Parisian 7001AB-7004</t>
  </si>
  <si>
    <t>Parisian 7001AB-7005</t>
  </si>
  <si>
    <t>Parisian 7001AB-7101A</t>
  </si>
  <si>
    <t>Parisian 7001AB-7101AB</t>
  </si>
  <si>
    <t>Parisian 7001AB-7102</t>
  </si>
  <si>
    <t>Parisian 7001AB-7103</t>
  </si>
  <si>
    <t>Parisian 7001AB-7104</t>
  </si>
  <si>
    <t>Parisian 7001AB-7105</t>
  </si>
  <si>
    <t>Parisian 7001AB-7105N</t>
  </si>
  <si>
    <t>Parisian 7001AB-7205N</t>
  </si>
  <si>
    <t>Parisian 7001AB-7305N</t>
  </si>
  <si>
    <t>Parisian 7001AB-7405NS</t>
  </si>
  <si>
    <t>Parisian 7001AB-7503NS</t>
  </si>
  <si>
    <t>Parisian 7001B-7101A</t>
  </si>
  <si>
    <t>Parisian 7001B-7101AB</t>
  </si>
  <si>
    <t>Parisian 7002-7003</t>
  </si>
  <si>
    <t>Parisian 7002-7004</t>
  </si>
  <si>
    <t>Parisian 7002-7005</t>
  </si>
  <si>
    <t>Parisian 7002-7102</t>
  </si>
  <si>
    <t>Parisian 7002-7103</t>
  </si>
  <si>
    <t>Parisian 7002-7104</t>
  </si>
  <si>
    <t>Parisian 7002-7105</t>
  </si>
  <si>
    <t>Parisian 7002-7504NS</t>
  </si>
  <si>
    <t>Parisian 7003-7004</t>
  </si>
  <si>
    <t>Parisian 7003-7005</t>
  </si>
  <si>
    <t>Parisian 7003-7103</t>
  </si>
  <si>
    <t>Parisian 7003-7104</t>
  </si>
  <si>
    <t>Parisian 7003-7105</t>
  </si>
  <si>
    <t>Parisian 7003-7505NS</t>
  </si>
  <si>
    <t>Parisian 7004-7005</t>
  </si>
  <si>
    <t>Parisian 7004-7104</t>
  </si>
  <si>
    <t>Parisian 7004-7105</t>
  </si>
  <si>
    <t>Parisian 7005-7105</t>
  </si>
  <si>
    <t>Parisian 7101AB</t>
  </si>
  <si>
    <t>Parisian 7101AB-7102</t>
  </si>
  <si>
    <t>Parisian 7101AB-7103</t>
  </si>
  <si>
    <t>Parisian 7101AB-7104</t>
  </si>
  <si>
    <t>Parisian 7101AB-7105</t>
  </si>
  <si>
    <t>Parisian 7101AB-7205N</t>
  </si>
  <si>
    <t>Parisian 7101AB-7404NS</t>
  </si>
  <si>
    <t>Parisian 7101AB-7505NS</t>
  </si>
  <si>
    <t>Parisian 7102-7103</t>
  </si>
  <si>
    <t>Parisian 7102-7104</t>
  </si>
  <si>
    <t>Parisian 7102-7105</t>
  </si>
  <si>
    <t>Parisian 7103-7104</t>
  </si>
  <si>
    <t>Parisian 7103-7105</t>
  </si>
  <si>
    <t>Parisian 7104-7105</t>
  </si>
  <si>
    <t>Parisian 7201AB</t>
  </si>
  <si>
    <t>Parisian 7201AB-7202</t>
  </si>
  <si>
    <t>Parisian 7201AB-7203</t>
  </si>
  <si>
    <t>Parisian 7201AB-7204</t>
  </si>
  <si>
    <t>Parisian 7201AB-7205</t>
  </si>
  <si>
    <t>Parisian 7201AB-7301A</t>
  </si>
  <si>
    <t>Parisian 7201AB-7301AB</t>
  </si>
  <si>
    <t>Parisian 7201AB-7302</t>
  </si>
  <si>
    <t>Parisian 7201AB-7303</t>
  </si>
  <si>
    <t>Parisian 7201AB-7304</t>
  </si>
  <si>
    <t>Parisian 7201AB-7305</t>
  </si>
  <si>
    <t>Parisian 7201AB-7305N</t>
  </si>
  <si>
    <t>Parisian 7201AB-7305S</t>
  </si>
  <si>
    <t>Parisian 7201AB-7405S</t>
  </si>
  <si>
    <t>Parisian 7201AB-7505S</t>
  </si>
  <si>
    <t>Parisian 7201B-7301A</t>
  </si>
  <si>
    <t>Parisian 7201B-7301AB</t>
  </si>
  <si>
    <t>Parisian 7202-7203</t>
  </si>
  <si>
    <t>Parisian 7202-7204</t>
  </si>
  <si>
    <t>Parisian 7202-7205</t>
  </si>
  <si>
    <t>Parisian 7202-7302</t>
  </si>
  <si>
    <t>Parisian 7202-7303</t>
  </si>
  <si>
    <t>Parisian 7202-7304</t>
  </si>
  <si>
    <t>Parisian 7202-7305</t>
  </si>
  <si>
    <t>Parisian 7203-7204</t>
  </si>
  <si>
    <t>Parisian 7203-7205</t>
  </si>
  <si>
    <t>Parisian 7203-7303</t>
  </si>
  <si>
    <t>Parisian 7203-7304</t>
  </si>
  <si>
    <t>Parisian 7203-7305</t>
  </si>
  <si>
    <t>Parisian 7204-7205</t>
  </si>
  <si>
    <t>Parisian 7204-7304</t>
  </si>
  <si>
    <t>Parisian 7204-7305</t>
  </si>
  <si>
    <t>Parisian 7205-7305</t>
  </si>
  <si>
    <t>Parisian 7301AB</t>
  </si>
  <si>
    <t>Parisian 7301AB-7302</t>
  </si>
  <si>
    <t>Parisian 7301AB-7303</t>
  </si>
  <si>
    <t>Parisian 7301AB-7304</t>
  </si>
  <si>
    <t>Parisian 7301AB-7305</t>
  </si>
  <si>
    <t>Parisian 7301AB-7405S</t>
  </si>
  <si>
    <t>Parisian 7301AB-7505S</t>
  </si>
  <si>
    <t>Parisian 7302-7303</t>
  </si>
  <si>
    <t>Parisian 7302-7304</t>
  </si>
  <si>
    <t>Parisian 7302-7305</t>
  </si>
  <si>
    <t>Parisian 7303-7304</t>
  </si>
  <si>
    <t>Parisian 7303-7305</t>
  </si>
  <si>
    <t>Parisian 7304-7305</t>
  </si>
  <si>
    <t>Parisian 7401AB</t>
  </si>
  <si>
    <t>Parisian 7401AB-7402</t>
  </si>
  <si>
    <t>Parisian 7401AB-7403</t>
  </si>
  <si>
    <t>Parisian 7401AB-7404</t>
  </si>
  <si>
    <t>Parisian 7401AB-7405</t>
  </si>
  <si>
    <t>Parisian 7401AB-7501A</t>
  </si>
  <si>
    <t>Parisian 7401AB-7501AB</t>
  </si>
  <si>
    <t>Parisian 7401AB-7502</t>
  </si>
  <si>
    <t>Parisian 7401AB-7503</t>
  </si>
  <si>
    <t>Parisian 7401AB-7504</t>
  </si>
  <si>
    <t>Parisian 7401AB-7505</t>
  </si>
  <si>
    <t>Parisian 7401AB-7505S</t>
  </si>
  <si>
    <t>Parisian 7401B-7501A</t>
  </si>
  <si>
    <t>Parisian 7401B-7501AB</t>
  </si>
  <si>
    <t>Parisian 7402-7403</t>
  </si>
  <si>
    <t>Parisian 7402-7404</t>
  </si>
  <si>
    <t>Parisian 7402-7405</t>
  </si>
  <si>
    <t>Parisian 7402-7502</t>
  </si>
  <si>
    <t>Parisian 7402-7503</t>
  </si>
  <si>
    <t>Parisian 7402-7504</t>
  </si>
  <si>
    <t>Parisian 7402-7505</t>
  </si>
  <si>
    <t>Parisian 7403-7404</t>
  </si>
  <si>
    <t>Parisian 7403-7405</t>
  </si>
  <si>
    <t>Parisian 7403-7503</t>
  </si>
  <si>
    <t>Parisian 7403-7504</t>
  </si>
  <si>
    <t>Parisian 7403-7505</t>
  </si>
  <si>
    <t>Parisian 7404-7405</t>
  </si>
  <si>
    <t>Parisian 7404-7504</t>
  </si>
  <si>
    <t>Parisian 7404-7505</t>
  </si>
  <si>
    <t>Parisian 7405-7505</t>
  </si>
  <si>
    <t>Parisian 7501AB</t>
  </si>
  <si>
    <t>Parisian 7501AB-7502</t>
  </si>
  <si>
    <t>Parisian 7501AB-7503</t>
  </si>
  <si>
    <t>Parisian 7501AB-7504</t>
  </si>
  <si>
    <t>Parisian 7501AB-7505</t>
  </si>
  <si>
    <t>Parisian 7502-7503</t>
  </si>
  <si>
    <t>Parisian 7502-7504</t>
  </si>
  <si>
    <t>Parisian 7502-7505</t>
  </si>
  <si>
    <t>Parisian 7503-7504</t>
  </si>
  <si>
    <t>Parisian 7503-7505</t>
  </si>
  <si>
    <t>Parisian 7504-7505</t>
  </si>
  <si>
    <t>All Foyers</t>
  </si>
  <si>
    <t>Mantova 4 - Bus Cntr Mtg Rm 4</t>
  </si>
  <si>
    <t>Milan 2006-2106</t>
  </si>
  <si>
    <t>Milan 2101AB</t>
  </si>
  <si>
    <t>Milan 2101AB-2103</t>
  </si>
  <si>
    <t>Milan 2101AB-2104</t>
  </si>
  <si>
    <t>Milan 2101AB-2105</t>
  </si>
  <si>
    <t>Milan 2101AB-2106</t>
  </si>
  <si>
    <t>Milan 2102-2103</t>
  </si>
  <si>
    <t>Milan 2104-2105</t>
  </si>
  <si>
    <t>Florence 2201AB</t>
  </si>
  <si>
    <t>Florence 2201AB-2203</t>
  </si>
  <si>
    <t>Florence 2201AB-2204</t>
  </si>
  <si>
    <t>Florence 2201AB-2205</t>
  </si>
  <si>
    <t>Florence 2201AB-2206</t>
  </si>
  <si>
    <t>Florence 2201AB-2301A</t>
  </si>
  <si>
    <t>Florence 2201AB-2301AB</t>
  </si>
  <si>
    <t>Florence 2201AB-2302</t>
  </si>
  <si>
    <t>Florence 2201AB-2303</t>
  </si>
  <si>
    <t>Florence 2201AB-2304</t>
  </si>
  <si>
    <t>Florence 2201AB-2305</t>
  </si>
  <si>
    <t>Florence 2201B-2301AB</t>
  </si>
  <si>
    <t>Florence 2202-2203</t>
  </si>
  <si>
    <t>Florence 2202-2302</t>
  </si>
  <si>
    <t>Florence 2202-2303</t>
  </si>
  <si>
    <t>Florence 2202-2304</t>
  </si>
  <si>
    <t>Florence 2202-2305</t>
  </si>
  <si>
    <t>Florence 2202-2306</t>
  </si>
  <si>
    <t>Florence 2203-2303</t>
  </si>
  <si>
    <t>Florence 2203-2304</t>
  </si>
  <si>
    <t>Florence 2203-2305</t>
  </si>
  <si>
    <t>Florence 2203-2306</t>
  </si>
  <si>
    <t>Florence 2204-2205</t>
  </si>
  <si>
    <t>Florence 2204-2304</t>
  </si>
  <si>
    <t>Florence 2204-2305</t>
  </si>
  <si>
    <t>Florence 2204-2306</t>
  </si>
  <si>
    <t>Florence 2205-2305</t>
  </si>
  <si>
    <t>Florence 2205-2306</t>
  </si>
  <si>
    <t>Florence 2206-2306</t>
  </si>
  <si>
    <t>Florence 2301AB</t>
  </si>
  <si>
    <t>Florence 2301AB-2303</t>
  </si>
  <si>
    <t>Florence 2301AB-2304</t>
  </si>
  <si>
    <t>Florence 2301AB-2305</t>
  </si>
  <si>
    <t>Florence 2301AB-2306</t>
  </si>
  <si>
    <t>Florence 2302-2303</t>
  </si>
  <si>
    <t>Florence 2304-2305</t>
  </si>
  <si>
    <t>Sicily 2401AB</t>
  </si>
  <si>
    <t>Sicily 2401AB-2402</t>
  </si>
  <si>
    <t>Sicily 2401AB-2403</t>
  </si>
  <si>
    <t>Sicily 2401AB-2404</t>
  </si>
  <si>
    <t>Sicily 2401AB-2405</t>
  </si>
  <si>
    <t>Sicily 2401AB-2406</t>
  </si>
  <si>
    <t>Sicily 2401AB-2501A</t>
  </si>
  <si>
    <t>Sicily 2401AB-2501AB</t>
  </si>
  <si>
    <t>Sicily 2401AB-2503</t>
  </si>
  <si>
    <t>Sicily 2401AB-2504</t>
  </si>
  <si>
    <t>Sicily 2401AB-2505</t>
  </si>
  <si>
    <t>Sicily 2401B-2501AB</t>
  </si>
  <si>
    <t>Sicily 2402-2403</t>
  </si>
  <si>
    <t>Sicily 2402-2502</t>
  </si>
  <si>
    <t>Sicily 2402-2503</t>
  </si>
  <si>
    <t>Sicily 2402-2504</t>
  </si>
  <si>
    <t>Sicily 2402-2505</t>
  </si>
  <si>
    <t>Sicily 2402-2506</t>
  </si>
  <si>
    <t>Sicily 2403-2404</t>
  </si>
  <si>
    <t>Sicily 2403-2503</t>
  </si>
  <si>
    <t>Sicily 2403-2505</t>
  </si>
  <si>
    <t>Sicily 2403-2506</t>
  </si>
  <si>
    <t>Sicily 2404-2405</t>
  </si>
  <si>
    <t>Sicily 2404-2504</t>
  </si>
  <si>
    <t>Sicily 2404-2505</t>
  </si>
  <si>
    <t>Sicily 2404-2506</t>
  </si>
  <si>
    <t>Sicily 2405-2406</t>
  </si>
  <si>
    <t>Sicily 2405-2505</t>
  </si>
  <si>
    <t>Sicily 2406-2506</t>
  </si>
  <si>
    <t>Sicily 2501AB</t>
  </si>
  <si>
    <t>Sicily 2501AB-2502</t>
  </si>
  <si>
    <t>Sicily 2501AB-2503</t>
  </si>
  <si>
    <t>Sicily 2501AB-2504</t>
  </si>
  <si>
    <t>Sicily 2501AB-2505</t>
  </si>
  <si>
    <t>Sicily 2501AB-2506</t>
  </si>
  <si>
    <t>Pool 3</t>
  </si>
  <si>
    <t>Arena Locker Room 1</t>
  </si>
  <si>
    <t>Arena Locker Room 2</t>
  </si>
  <si>
    <t>Arena Locker Room 3</t>
  </si>
  <si>
    <t>Arena Locker Room 4</t>
  </si>
  <si>
    <t>Arena Rehearsal Room 1</t>
  </si>
  <si>
    <t>Arena Rehearsal Room 2</t>
  </si>
  <si>
    <t>Ballroom ABDE</t>
  </si>
  <si>
    <t>Verona 1405-1406</t>
  </si>
  <si>
    <t>Verona 1405-1505</t>
  </si>
  <si>
    <t>Verona 1405-1506</t>
  </si>
  <si>
    <t>Verona 1406-1506</t>
  </si>
  <si>
    <t>Verona 1501-1502</t>
  </si>
  <si>
    <t>Verona 1502-1503</t>
  </si>
  <si>
    <t>Verona 1503-1504</t>
  </si>
  <si>
    <t>Verona 1504-1505</t>
  </si>
  <si>
    <t>Verona 1505-1506</t>
  </si>
  <si>
    <t>Hall AB</t>
  </si>
  <si>
    <t>Ballroom AD</t>
  </si>
  <si>
    <t>Ballroom A-I</t>
  </si>
  <si>
    <t>Ballroom BC</t>
  </si>
  <si>
    <t>Ballroom BCEF</t>
  </si>
  <si>
    <t>Ballroom BE</t>
  </si>
  <si>
    <t>Ballroom CF</t>
  </si>
  <si>
    <t>Ballroom DE</t>
  </si>
  <si>
    <t>Ballroom D-F</t>
  </si>
  <si>
    <t>Ballroom D-L</t>
  </si>
  <si>
    <t>Ballroom EF</t>
  </si>
  <si>
    <t>Ballroom GH</t>
  </si>
  <si>
    <t>Ballroom GHJK</t>
  </si>
  <si>
    <t>Ballroom GJ</t>
  </si>
  <si>
    <t>Hall ABC</t>
  </si>
  <si>
    <t>Hall BC</t>
  </si>
  <si>
    <t>Hall DE</t>
  </si>
  <si>
    <t>Hall DEF</t>
  </si>
  <si>
    <t>Hall EF</t>
  </si>
  <si>
    <t>Arena Club Lounge 1-2</t>
  </si>
  <si>
    <t>Arena Locker Room 1-2</t>
  </si>
  <si>
    <t>Arena Locker Room 3-4</t>
  </si>
  <si>
    <t>Arena Rehearsal Room 1-2</t>
  </si>
  <si>
    <t>Ballroom HI</t>
  </si>
  <si>
    <t>Ballroom HIKL</t>
  </si>
  <si>
    <t>Ballroom HK</t>
  </si>
  <si>
    <t>Ballroom IL</t>
  </si>
  <si>
    <t>Ballroom JK</t>
  </si>
  <si>
    <t>Ballroom KL</t>
  </si>
  <si>
    <t>Milan 2001AB</t>
  </si>
  <si>
    <t>Milan 2001AB-2003</t>
  </si>
  <si>
    <t>Milan 2001AB-2004</t>
  </si>
  <si>
    <t>Milan 2001AB-2005</t>
  </si>
  <si>
    <t>Milan 2001AB-2006</t>
  </si>
  <si>
    <t>Milan 2001AB-2101A</t>
  </si>
  <si>
    <t>Milan 2001AB-2101AB</t>
  </si>
  <si>
    <t>Milan 2001AB-2102</t>
  </si>
  <si>
    <t>Milan 2001AB-2103</t>
  </si>
  <si>
    <t>Milan 2001AB-2104</t>
  </si>
  <si>
    <t>Milan 2001AB-2105</t>
  </si>
  <si>
    <t>Milan 2001B-2101AB</t>
  </si>
  <si>
    <t>Milan 2002-2003</t>
  </si>
  <si>
    <t>Milan 2002-2102</t>
  </si>
  <si>
    <t>Milan 2002-2103</t>
  </si>
  <si>
    <t>Milan 2002-2104</t>
  </si>
  <si>
    <t>Milan 2002-2105</t>
  </si>
  <si>
    <t>Milan 2002-2106</t>
  </si>
  <si>
    <t>Milan 2003-2004</t>
  </si>
  <si>
    <t>Milan 2003-2103</t>
  </si>
  <si>
    <t>Milan 2003-2104</t>
  </si>
  <si>
    <t>Milan 2003-2105</t>
  </si>
  <si>
    <t>Milan 2003-2106</t>
  </si>
  <si>
    <t>Milan 2004-2005</t>
  </si>
  <si>
    <t>Milan 2004-2104</t>
  </si>
  <si>
    <t>Milan 2004-2105</t>
  </si>
  <si>
    <t>Milan 2004-2106</t>
  </si>
  <si>
    <t>Milan 2005-2006</t>
  </si>
  <si>
    <t>Milan 2005-2105</t>
  </si>
  <si>
    <t>Milan 2005-2106</t>
  </si>
  <si>
    <t>Sicily 2502-2503</t>
  </si>
  <si>
    <t>Sicily 2503-2504</t>
  </si>
  <si>
    <t>Sicily 2504-2505</t>
  </si>
  <si>
    <t>Sicily 2505-2506</t>
  </si>
  <si>
    <t>Naples 2601AB</t>
  </si>
  <si>
    <t>Naples 2601AB-2602</t>
  </si>
  <si>
    <t>Naples 2601AB-2603</t>
  </si>
  <si>
    <t>Naples 2601AB-2604</t>
  </si>
  <si>
    <t>Naples 2601AB-2605</t>
  </si>
  <si>
    <t>Naples 2601AB-2606</t>
  </si>
  <si>
    <t>Naples 2601AB-2701A</t>
  </si>
  <si>
    <t>Naples 2601AB-2701AB</t>
  </si>
  <si>
    <t>Naples 2601AB-2703</t>
  </si>
  <si>
    <t>Naples 2601AB-2704</t>
  </si>
  <si>
    <t>Naples 2601AB-2705</t>
  </si>
  <si>
    <t>Naples 2601B-2701AB</t>
  </si>
  <si>
    <t>Naples 2602-2603</t>
  </si>
  <si>
    <t>Naples 2602-2702</t>
  </si>
  <si>
    <t>Naples 2602-2703</t>
  </si>
  <si>
    <t>Naples 2602-2704</t>
  </si>
  <si>
    <t>Naples 2602-2705</t>
  </si>
  <si>
    <t>Naples 2602-2706</t>
  </si>
  <si>
    <t>Naples 2603-2604</t>
  </si>
  <si>
    <t>Naples 2603-2703</t>
  </si>
  <si>
    <t>Naples 2603-2705</t>
  </si>
  <si>
    <t>Naples 2603-2706</t>
  </si>
  <si>
    <t>Naples 2604-2605</t>
  </si>
  <si>
    <t>Naples 2604-2704</t>
  </si>
  <si>
    <t>Naples 2604-2705</t>
  </si>
  <si>
    <t>Naples 2604-2706</t>
  </si>
  <si>
    <t>Naples 2605-2606</t>
  </si>
  <si>
    <t>Naples 2605-2705</t>
  </si>
  <si>
    <t>Naples 2606-2706</t>
  </si>
  <si>
    <t>Naples 2701AB</t>
  </si>
  <si>
    <t>Naples 2701AB-2702</t>
  </si>
  <si>
    <t>Naples 2701AB-2703</t>
  </si>
  <si>
    <t>Naples 2701AB-2704</t>
  </si>
  <si>
    <t>Naples 2701AB-2705</t>
  </si>
  <si>
    <t>Naples 2701AB-2706</t>
  </si>
  <si>
    <t>Naples 2702-2703</t>
  </si>
  <si>
    <t>Naples 2703-2704</t>
  </si>
  <si>
    <t>Naples 2704-2705</t>
  </si>
  <si>
    <t>Naples 2705-2706</t>
  </si>
  <si>
    <t>Capri 1001-1002</t>
  </si>
  <si>
    <t>Capri 1001-1101</t>
  </si>
  <si>
    <t>Capri 1001-1102</t>
  </si>
  <si>
    <t>Capri 1001-1103</t>
  </si>
  <si>
    <t>Capri 1001-1104</t>
  </si>
  <si>
    <t>Capri 1001-1105</t>
  </si>
  <si>
    <t>Capri 1002-1003</t>
  </si>
  <si>
    <t>Capri 1002-1102</t>
  </si>
  <si>
    <t>Capri 1002-1103</t>
  </si>
  <si>
    <t>Capri 1002-1104</t>
  </si>
  <si>
    <t>Capri 1002-1105</t>
  </si>
  <si>
    <t>Capri 1002-1106</t>
  </si>
  <si>
    <t>Capri 1003-1004</t>
  </si>
  <si>
    <t>Capri 1003-1103</t>
  </si>
  <si>
    <t>Capri 1003-1104</t>
  </si>
  <si>
    <t>Capri 1003-1105</t>
  </si>
  <si>
    <t>Capri 1003-1106</t>
  </si>
  <si>
    <t>Capri 1004-1005</t>
  </si>
  <si>
    <t>Capri 1004-1104</t>
  </si>
  <si>
    <t>Capri 1004-1105</t>
  </si>
  <si>
    <t>Capri 1004-1106</t>
  </si>
  <si>
    <t>Capri 1005-1006</t>
  </si>
  <si>
    <t>Capri 1005-1105</t>
  </si>
  <si>
    <t>Capri 1005-1106</t>
  </si>
  <si>
    <t>Capri 1006-1106</t>
  </si>
  <si>
    <t>Capri 1101-1102</t>
  </si>
  <si>
    <t>Capri 1102-1103</t>
  </si>
  <si>
    <t>Capri 1103-1104</t>
  </si>
  <si>
    <t>Capri 1104-1105</t>
  </si>
  <si>
    <t>Capri 1105-1106</t>
  </si>
  <si>
    <t>Torino 1201-1202</t>
  </si>
  <si>
    <t>Torino 1201-1301</t>
  </si>
  <si>
    <t>Torino 1201-1302</t>
  </si>
  <si>
    <t>Torino 1201-1303</t>
  </si>
  <si>
    <t>Torino 1201-1304</t>
  </si>
  <si>
    <t>Torino 1201-1305</t>
  </si>
  <si>
    <t>Torino 1202-1203</t>
  </si>
  <si>
    <t>Torino 1202-1302</t>
  </si>
  <si>
    <t>Torino 1202-1303</t>
  </si>
  <si>
    <t>Torino 1202-1304</t>
  </si>
  <si>
    <t>Torino 1202-1305</t>
  </si>
  <si>
    <t>Torino 1202-1306</t>
  </si>
  <si>
    <t>Torino 1203-1204</t>
  </si>
  <si>
    <t>Torino 1203-1303</t>
  </si>
  <si>
    <t>Torino 1203-1304</t>
  </si>
  <si>
    <t>Torino 1203-1305</t>
  </si>
  <si>
    <t>Torino 1203-1306</t>
  </si>
  <si>
    <t>Torino 1204-1205</t>
  </si>
  <si>
    <t>Torino 1204-1304</t>
  </si>
  <si>
    <t>Torino 1204-1305</t>
  </si>
  <si>
    <t>Torino 1205-1206</t>
  </si>
  <si>
    <t>Torino 1205-1305</t>
  </si>
  <si>
    <t>Torino 1205-1306</t>
  </si>
  <si>
    <t>Torino 1206-1306</t>
  </si>
  <si>
    <t>Torino 1301-1302</t>
  </si>
  <si>
    <t>Torino 1302-1303</t>
  </si>
  <si>
    <t>Torino 1303-1304</t>
  </si>
  <si>
    <t>Torino 1304-1305</t>
  </si>
  <si>
    <t>Torino 1305-1306</t>
  </si>
  <si>
    <t>Verona 1401-1402</t>
  </si>
  <si>
    <t>Verona 1401-1501</t>
  </si>
  <si>
    <t>Verona 1401-1502</t>
  </si>
  <si>
    <t>Verona 1401-1503</t>
  </si>
  <si>
    <t>Verona 1401-1504</t>
  </si>
  <si>
    <t>Verona 1401-1505</t>
  </si>
  <si>
    <t>Verona 1402-1403</t>
  </si>
  <si>
    <t>Verona 1402-1502</t>
  </si>
  <si>
    <t>Verona 1402-1503</t>
  </si>
  <si>
    <t>Verona 1402-1504</t>
  </si>
  <si>
    <t>Verona 1402-1505</t>
  </si>
  <si>
    <t>Verona 1402-1506</t>
  </si>
  <si>
    <t>Verona 1403-1404</t>
  </si>
  <si>
    <t>Verona 1403-1503</t>
  </si>
  <si>
    <t>Verona 1403-1504</t>
  </si>
  <si>
    <t>Verona 1403-1505</t>
  </si>
  <si>
    <t>Verona 1403-1506</t>
  </si>
  <si>
    <t>Verona 1404-1405</t>
  </si>
  <si>
    <t>Verona 1404-1504</t>
  </si>
  <si>
    <t>Verona 1404-1505</t>
  </si>
  <si>
    <t>Verona 1404-1506</t>
  </si>
  <si>
    <t>Business Centre L1 Lounge</t>
  </si>
  <si>
    <t>Mantova 1 - Bus Cntr Mtg Rm 1</t>
  </si>
  <si>
    <t>Mantova 2 - Bus Cntr Mtg Rm 2</t>
  </si>
  <si>
    <t>Mantova 3 - Bus Cntr Mtg Rm 3</t>
  </si>
  <si>
    <t>Golden Peacock</t>
  </si>
  <si>
    <t>Arena, Event Centre</t>
  </si>
  <si>
    <t>Arena Crew Catering Room</t>
  </si>
  <si>
    <t>Arena Guest Room 1</t>
  </si>
  <si>
    <t>Arena Guest Room 2</t>
  </si>
  <si>
    <t>Arena Performer Changing Room 1</t>
  </si>
  <si>
    <t>Arena Performer Changing Room 2</t>
  </si>
  <si>
    <t>Arena Performer Changing Room 3</t>
  </si>
  <si>
    <t>Arena Performer Changing Room 4</t>
  </si>
  <si>
    <t>Arena Sound Studio</t>
  </si>
  <si>
    <t>Arena Star Changing Room 1</t>
  </si>
  <si>
    <t>Arena Star Changing Room 2</t>
  </si>
  <si>
    <t>Arena Sky Lounge - VIP Room 1</t>
  </si>
  <si>
    <t>Arena Sky Lounge - VIP Room 2</t>
  </si>
  <si>
    <t>Arena Sky Lounge - VIP Room 3</t>
  </si>
  <si>
    <t>Arena Sky Lounge - VIP Room 4</t>
  </si>
  <si>
    <t>Arena Sky Lounge - VIP Room 5</t>
  </si>
  <si>
    <t>Arena Sky Lounge - VIP Room 6</t>
  </si>
  <si>
    <t>VML Office</t>
  </si>
  <si>
    <t>Banner 1 Milan</t>
  </si>
  <si>
    <t>Banner 2a</t>
  </si>
  <si>
    <t>Banner 2b</t>
  </si>
  <si>
    <t>Banner 3 BNU</t>
  </si>
  <si>
    <t>McSorley TV 1</t>
  </si>
  <si>
    <t>McSorley TV 2</t>
  </si>
  <si>
    <t>McSorley TV 3</t>
  </si>
  <si>
    <t>McSorley TV 4</t>
  </si>
  <si>
    <t>Milan Foyer</t>
  </si>
  <si>
    <t>Florence Foyer</t>
  </si>
  <si>
    <t>Sicily Foyer</t>
  </si>
  <si>
    <t>Naples Foyer</t>
  </si>
  <si>
    <t>Capri Foyer</t>
  </si>
  <si>
    <t>Torino Foyer</t>
  </si>
  <si>
    <t>Verona Foyer</t>
  </si>
  <si>
    <t>Hall A</t>
  </si>
  <si>
    <t>Hall C</t>
  </si>
  <si>
    <t>Hall E</t>
  </si>
  <si>
    <t>Hall F</t>
  </si>
  <si>
    <t>Venetian Outdoor Event Space</t>
  </si>
  <si>
    <t>Shoppes at Venetian</t>
  </si>
  <si>
    <t>Shoppes at Four Seasons</t>
  </si>
  <si>
    <t>Bordeaux 7-2</t>
  </si>
  <si>
    <t>Bordeaux 7-5</t>
  </si>
  <si>
    <t>Bordeaux 7-6</t>
  </si>
  <si>
    <t>Cafe Express</t>
  </si>
  <si>
    <t>Theatre Lobby</t>
  </si>
  <si>
    <t>Rotunda Main Lobby</t>
  </si>
  <si>
    <t>Sofia 4-14</t>
  </si>
  <si>
    <t>Sofia 4-15</t>
  </si>
  <si>
    <t>Loulan 4001AB</t>
  </si>
  <si>
    <t>Loulan 4001AB-4002</t>
  </si>
  <si>
    <t>Loulan 4001AB-4003</t>
  </si>
  <si>
    <t>Loulan 4001AB-4004</t>
  </si>
  <si>
    <t>Loulan 4001AB-4005</t>
  </si>
  <si>
    <t>Loulan 4001AB-4006</t>
  </si>
  <si>
    <t>Loulan 4001AB-4007</t>
  </si>
  <si>
    <t>Loulan 4001AB-4101A</t>
  </si>
  <si>
    <t>Southern Kitchen</t>
  </si>
  <si>
    <t>Sofia 4-1</t>
  </si>
  <si>
    <t>Sofia 4-2</t>
  </si>
  <si>
    <t>Sofia 4-16</t>
  </si>
  <si>
    <t>Urumqi</t>
  </si>
  <si>
    <t>Sofia Foyer</t>
  </si>
  <si>
    <t>Urumqi Foyer</t>
  </si>
  <si>
    <t>East Lobby</t>
  </si>
  <si>
    <t>Holiday Inn Pool Foyer</t>
  </si>
  <si>
    <t>Pacifica Casino</t>
  </si>
  <si>
    <t>Loulan 4001AB-4103</t>
  </si>
  <si>
    <t>Loulan 4001AB-4104</t>
  </si>
  <si>
    <t>Loulan 4001AB-4105</t>
  </si>
  <si>
    <t>Loulan 4001AB-4106</t>
  </si>
  <si>
    <t>Loulan 4001B-4101A</t>
  </si>
  <si>
    <t>Loulan 4001B-4101AB</t>
  </si>
  <si>
    <t>Loulan 4002-4003</t>
  </si>
  <si>
    <t>Loulan 4001AB-4101AB</t>
  </si>
  <si>
    <t>Loulan 4001AB-4102</t>
  </si>
  <si>
    <t>Rice Empire</t>
  </si>
  <si>
    <t>Dunhuang 4401AB-4402</t>
  </si>
  <si>
    <t>Dunhuang 4401AB-4403</t>
  </si>
  <si>
    <t>Dunhuang 4401AB-4404</t>
  </si>
  <si>
    <t>Turfan 4301AB-4305</t>
  </si>
  <si>
    <t>Turfan 4301AB-4306</t>
  </si>
  <si>
    <t>Turfan 4301AB-4307</t>
  </si>
  <si>
    <t>Turfan 4302-4303</t>
  </si>
  <si>
    <t>Turfan 4303-4304</t>
  </si>
  <si>
    <t>Turfan 4305-4306</t>
  </si>
  <si>
    <t>Turfan 4306-4307</t>
  </si>
  <si>
    <t>Turfan 4304-4305</t>
  </si>
  <si>
    <t>Turfan 4205-4305</t>
  </si>
  <si>
    <t>Turfan 4206-4207</t>
  </si>
  <si>
    <t>Turfan 4206-4306</t>
  </si>
  <si>
    <t>Turfan 4207-4307</t>
  </si>
  <si>
    <t>Turfan 4301AB</t>
  </si>
  <si>
    <t>Turfan 4301AB-4302</t>
  </si>
  <si>
    <t>Turfan 4301AB-4303</t>
  </si>
  <si>
    <t>Turfan 4301AB-4304</t>
  </si>
  <si>
    <t>Turfan 4205-4206</t>
  </si>
  <si>
    <t>Dunhuang 4401AB</t>
  </si>
  <si>
    <t>Loulan 4002-4102</t>
  </si>
  <si>
    <t>Loulan 4003-4004</t>
  </si>
  <si>
    <t>Loulan 4003-4103</t>
  </si>
  <si>
    <t>Loulan 4004-4005</t>
  </si>
  <si>
    <t>Loulan 4004-4104</t>
  </si>
  <si>
    <t>Loulan 4005-4105</t>
  </si>
  <si>
    <t>Loulan 4005-4006</t>
  </si>
  <si>
    <t>Loulan 4101AB-4106</t>
  </si>
  <si>
    <t>Loulan 4007-4107</t>
  </si>
  <si>
    <t>Loulan 4101AB</t>
  </si>
  <si>
    <t>Loulan 4101AB-4102</t>
  </si>
  <si>
    <t>Loulan 4101AB-4103</t>
  </si>
  <si>
    <t>Loulan 4101AB-4107</t>
  </si>
  <si>
    <t>Loulan 4102-4103</t>
  </si>
  <si>
    <t>Loulan 4101AB-4104</t>
  </si>
  <si>
    <t>Loulan 4101AB-4105</t>
  </si>
  <si>
    <t>Loulan 4103-4104</t>
  </si>
  <si>
    <t>Loulan 4106-4107</t>
  </si>
  <si>
    <t>Turfan 4201AB</t>
  </si>
  <si>
    <t>Turfan 4201AB-4202</t>
  </si>
  <si>
    <t>Turfan 4201AB-4305</t>
  </si>
  <si>
    <t>Turfan 4201AB-4203</t>
  </si>
  <si>
    <t>Turfan 4201AB-4204</t>
  </si>
  <si>
    <t>Turfan 4201AB-4306</t>
  </si>
  <si>
    <t>Turfan 4201AB-4205</t>
  </si>
  <si>
    <t>Turfan 4201B-4301A</t>
  </si>
  <si>
    <t>Turfan 4201B-4301AB</t>
  </si>
  <si>
    <t>Turfan 4201AB-4206</t>
  </si>
  <si>
    <t>Turfan 4201AB-4207</t>
  </si>
  <si>
    <t>Turfan 4201AB-4301A</t>
  </si>
  <si>
    <t>Turfan 4201AB-4301AB</t>
  </si>
  <si>
    <t>Turfan 4201AB-4302</t>
  </si>
  <si>
    <t>Turfan 4201AB-4303</t>
  </si>
  <si>
    <t>Turfan 4201AB-4304</t>
  </si>
  <si>
    <t>Turfan 4202-4203</t>
  </si>
  <si>
    <t>Turfan 4204-4205</t>
  </si>
  <si>
    <t>Turfan 4204-4304</t>
  </si>
  <si>
    <t>Loulan 4006-4007</t>
  </si>
  <si>
    <t>Loulan 4006-4106</t>
  </si>
  <si>
    <t>Loulan 4105-4106</t>
  </si>
  <si>
    <t>Loulan 4104-4105</t>
  </si>
  <si>
    <t>Turfan 4202-4302</t>
  </si>
  <si>
    <t>Turfan 4203-4204</t>
  </si>
  <si>
    <t>Turfan 4203-4303</t>
  </si>
  <si>
    <t>Dunhuang 4401AB-4405</t>
  </si>
  <si>
    <t>Dunhuang 4401AB-4406</t>
  </si>
  <si>
    <t>Dunhuang 4401AB-4407</t>
  </si>
  <si>
    <t>Dunhuang 4401AB-4501A</t>
  </si>
  <si>
    <t>Dunhuang 4401AB-4501AB</t>
  </si>
  <si>
    <t>Dunhuang 4401AB-4502</t>
  </si>
  <si>
    <t>Dunhuang 4401AB-4503</t>
  </si>
  <si>
    <t>Dunhuang 4401AB-4504</t>
  </si>
  <si>
    <t>Dunhuang 4401AB-4505</t>
  </si>
  <si>
    <t>Dunhuang 4401AB-4506</t>
  </si>
  <si>
    <t>Dunhuang 4401B-4501A</t>
  </si>
  <si>
    <t>Dunhuang 4401B-4501AB</t>
  </si>
  <si>
    <t>Dunhuang 4402-4403</t>
  </si>
  <si>
    <t>Dunhuang 4402-4502</t>
  </si>
  <si>
    <t>Dunhuang 4403-4404</t>
  </si>
  <si>
    <t>Dunhuang 4404-4504</t>
  </si>
  <si>
    <t>Dunhuang 4405-4406</t>
  </si>
  <si>
    <t>Dunhuang 4405-4505</t>
  </si>
  <si>
    <t>Dunhuang 4406-4407</t>
  </si>
  <si>
    <t>Dunhuang 4406-4506</t>
  </si>
  <si>
    <t>Dunhuang 4407-4507</t>
  </si>
  <si>
    <t>Dunhuang 4501AB</t>
  </si>
  <si>
    <t>Dunhuang 4501AB-4502</t>
  </si>
  <si>
    <t>Dunhuang 4501AB-4503</t>
  </si>
  <si>
    <t>Dunhuang 4501AB-4504</t>
  </si>
  <si>
    <t>Dunhuang 4501AB-4505</t>
  </si>
  <si>
    <t>Dunhuang 4501AB-4506</t>
  </si>
  <si>
    <t>Dunhuang 4501AB-4507</t>
  </si>
  <si>
    <t>Dunhuang 4502-4503</t>
  </si>
  <si>
    <t>Dunhuang 4503-4504</t>
  </si>
  <si>
    <t>Dunhuang 4403-4503</t>
  </si>
  <si>
    <t>Dunhuang 4404-4405</t>
  </si>
  <si>
    <t>Dunhuang 4504-4505</t>
  </si>
  <si>
    <t>Dunhuang 4505-4506</t>
  </si>
  <si>
    <t>Dunhuang 4506-4507</t>
  </si>
  <si>
    <t>Forecasted Food</t>
  </si>
  <si>
    <t>Forecasted Outlet</t>
  </si>
  <si>
    <t>Forecasted Beverage</t>
  </si>
  <si>
    <t>Forecasted Food Average Check</t>
  </si>
  <si>
    <t>Forecasted Outlet Average Check</t>
  </si>
  <si>
    <t>Forecasted Beverage Average Check</t>
  </si>
  <si>
    <t>Food</t>
  </si>
  <si>
    <t>Beverage</t>
  </si>
  <si>
    <t>Outlet</t>
  </si>
  <si>
    <t>Show F&amp;B
 Event</t>
  </si>
  <si>
    <t>Show Rental 
Event</t>
  </si>
  <si>
    <t>F&amp;B</t>
  </si>
  <si>
    <t>Inclusive bbf</t>
  </si>
  <si>
    <t>Total Rate</t>
  </si>
  <si>
    <t>Total F&amp;B 
Revenue</t>
  </si>
  <si>
    <t>Post As</t>
  </si>
  <si>
    <t>Account Name</t>
  </si>
  <si>
    <t>Agency Name</t>
  </si>
  <si>
    <t>End User Region</t>
  </si>
  <si>
    <t>Booking Owner</t>
  </si>
  <si>
    <t>Booking Type</t>
  </si>
  <si>
    <t>Industry</t>
  </si>
  <si>
    <t>Booking ID</t>
  </si>
  <si>
    <t>Commission</t>
  </si>
  <si>
    <t>Attrition</t>
  </si>
  <si>
    <t>Arrival Date</t>
  </si>
  <si>
    <t>Departure Date</t>
  </si>
  <si>
    <t>Status</t>
  </si>
  <si>
    <t>Housing Method</t>
  </si>
  <si>
    <t xml:space="preserve">
Booking Information
</t>
  </si>
  <si>
    <t>Display F&amp;B</t>
  </si>
  <si>
    <t>Display Rental</t>
  </si>
  <si>
    <t>Inclusive in rate</t>
  </si>
  <si>
    <t>BR Room Type</t>
  </si>
  <si>
    <t>Royale Deluxe</t>
  </si>
  <si>
    <t>Bella Deluxe</t>
  </si>
  <si>
    <t>Rialto Deluxe</t>
  </si>
  <si>
    <t>Verona Deluxe</t>
  </si>
  <si>
    <t>Royale Deluxe CV</t>
  </si>
  <si>
    <t>Bella Deluxe CV</t>
  </si>
  <si>
    <t>Premio Royale</t>
  </si>
  <si>
    <t>Premio Bella</t>
  </si>
  <si>
    <t>King Deluxe CV</t>
  </si>
  <si>
    <t>2 Queens Deluxe CV</t>
  </si>
  <si>
    <t>Cannes Suite</t>
  </si>
  <si>
    <t>Lyon Suite King with Eiffel Tower View</t>
  </si>
  <si>
    <t>Lyon Suite Double with Eiffel Tower View</t>
  </si>
  <si>
    <t>LOS</t>
  </si>
  <si>
    <t>Cut off Date</t>
  </si>
  <si>
    <t>Promotion</t>
  </si>
  <si>
    <r>
      <t xml:space="preserve">Please put </t>
    </r>
    <r>
      <rPr>
        <b/>
        <i/>
        <u/>
        <sz val="11"/>
        <rFont val="Calibri"/>
        <family val="2"/>
        <scheme val="minor"/>
      </rPr>
      <t>Property Initial</t>
    </r>
    <r>
      <rPr>
        <b/>
        <sz val="11"/>
        <color rgb="FFFF0000"/>
        <rFont val="Calibri"/>
        <family val="2"/>
        <scheme val="minor"/>
      </rPr>
      <t xml:space="preserve"> (VMRH, PARIS, CMCC, HIMCC)</t>
    </r>
    <r>
      <rPr>
        <b/>
        <sz val="11"/>
        <color theme="1"/>
        <rFont val="Calibri"/>
        <family val="2"/>
        <scheme val="minor"/>
      </rPr>
      <t xml:space="preserve"> next to Occupancy </t>
    </r>
  </si>
  <si>
    <t>BR</t>
  </si>
  <si>
    <t>FDC</t>
  </si>
  <si>
    <t>BR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</si>
</sst>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9"/>
      <color indexed="81"/>
      <name val="Tahom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1237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7">
    <xf numFmtId="0" fontId="0" fillId="0" borderId="0" xfId="0"/>
    <xf numFmtId="0" fontId="0" fillId="4" borderId="3" xfId="0" applyFill="1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6" borderId="2" xfId="0" applyFill="1" applyBorder="1"/>
    <xf numFmtId="0" fontId="0" fillId="4" borderId="21" xfId="0" applyFill="1" applyBorder="1" applyAlignment="1">
      <alignment horizontal="center" vertical="center"/>
    </xf>
    <xf numFmtId="0" fontId="1" fillId="0" borderId="0" xfId="0" applyFont="1"/>
    <xf numFmtId="0" fontId="0" fillId="4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43" fontId="0" fillId="6" borderId="13" xfId="1" applyFont="1" applyFill="1" applyBorder="1"/>
    <xf numFmtId="43" fontId="0" fillId="6" borderId="22" xfId="1" applyFont="1" applyFill="1" applyBorder="1"/>
    <xf numFmtId="43" fontId="0" fillId="7" borderId="7" xfId="1" applyFont="1" applyFill="1" applyBorder="1"/>
    <xf numFmtId="43" fontId="0" fillId="7" borderId="1" xfId="1" applyFont="1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3" fillId="0" borderId="0" xfId="0" applyFont="1"/>
    <xf numFmtId="0" fontId="0" fillId="7" borderId="0" xfId="0" applyFill="1"/>
    <xf numFmtId="0" fontId="1" fillId="7" borderId="0" xfId="0" applyFont="1" applyFill="1"/>
    <xf numFmtId="0" fontId="0" fillId="11" borderId="5" xfId="0" applyFill="1" applyBorder="1"/>
    <xf numFmtId="43" fontId="0" fillId="3" borderId="12" xfId="1" applyFont="1" applyFill="1" applyBorder="1"/>
    <xf numFmtId="43" fontId="0" fillId="3" borderId="30" xfId="1" applyFont="1" applyFill="1" applyBorder="1"/>
    <xf numFmtId="0" fontId="0" fillId="0" borderId="35" xfId="0" applyBorder="1"/>
    <xf numFmtId="0" fontId="0" fillId="0" borderId="0" xfId="0" applyBorder="1"/>
    <xf numFmtId="165" fontId="0" fillId="0" borderId="0" xfId="1" applyNumberFormat="1" applyFont="1" applyBorder="1"/>
    <xf numFmtId="0" fontId="0" fillId="0" borderId="27" xfId="0" applyBorder="1"/>
    <xf numFmtId="0" fontId="0" fillId="0" borderId="28" xfId="0" applyBorder="1"/>
    <xf numFmtId="0" fontId="3" fillId="7" borderId="0" xfId="0" applyFont="1" applyFill="1"/>
    <xf numFmtId="0" fontId="0" fillId="10" borderId="32" xfId="0" applyFill="1" applyBorder="1"/>
    <xf numFmtId="0" fontId="0" fillId="10" borderId="33" xfId="0" applyFill="1" applyBorder="1"/>
    <xf numFmtId="0" fontId="0" fillId="10" borderId="34" xfId="0" applyFill="1" applyBorder="1"/>
    <xf numFmtId="0" fontId="0" fillId="7" borderId="0" xfId="0" applyFill="1" applyBorder="1"/>
    <xf numFmtId="0" fontId="0" fillId="7" borderId="36" xfId="0" applyFill="1" applyBorder="1"/>
    <xf numFmtId="0" fontId="0" fillId="7" borderId="28" xfId="0" applyFill="1" applyBorder="1"/>
    <xf numFmtId="0" fontId="0" fillId="7" borderId="37" xfId="0" applyFill="1" applyBorder="1"/>
    <xf numFmtId="43" fontId="0" fillId="7" borderId="0" xfId="1" applyFont="1" applyFill="1" applyBorder="1"/>
    <xf numFmtId="164" fontId="0" fillId="7" borderId="0" xfId="1" applyNumberFormat="1" applyFont="1" applyFill="1" applyBorder="1"/>
    <xf numFmtId="164" fontId="0" fillId="7" borderId="36" xfId="1" applyNumberFormat="1" applyFont="1" applyFill="1" applyBorder="1"/>
    <xf numFmtId="164" fontId="0" fillId="7" borderId="28" xfId="1" applyNumberFormat="1" applyFont="1" applyFill="1" applyBorder="1"/>
    <xf numFmtId="164" fontId="0" fillId="7" borderId="37" xfId="1" applyNumberFormat="1" applyFont="1" applyFill="1" applyBorder="1"/>
    <xf numFmtId="43" fontId="0" fillId="7" borderId="36" xfId="1" applyFont="1" applyFill="1" applyBorder="1"/>
    <xf numFmtId="43" fontId="0" fillId="7" borderId="28" xfId="1" applyFont="1" applyFill="1" applyBorder="1"/>
    <xf numFmtId="43" fontId="0" fillId="7" borderId="37" xfId="1" applyFont="1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7" borderId="35" xfId="0" applyFill="1" applyBorder="1"/>
    <xf numFmtId="0" fontId="1" fillId="7" borderId="0" xfId="0" applyFont="1" applyFill="1" applyBorder="1"/>
    <xf numFmtId="0" fontId="0" fillId="7" borderId="27" xfId="0" applyFill="1" applyBorder="1"/>
    <xf numFmtId="0" fontId="1" fillId="4" borderId="39" xfId="0" applyFont="1" applyFill="1" applyBorder="1"/>
    <xf numFmtId="0" fontId="0" fillId="4" borderId="40" xfId="0" applyFill="1" applyBorder="1"/>
    <xf numFmtId="165" fontId="0" fillId="4" borderId="41" xfId="1" applyNumberFormat="1" applyFont="1" applyFill="1" applyBorder="1"/>
    <xf numFmtId="0" fontId="1" fillId="4" borderId="42" xfId="0" applyFont="1" applyFill="1" applyBorder="1"/>
    <xf numFmtId="0" fontId="0" fillId="4" borderId="43" xfId="0" applyFill="1" applyBorder="1"/>
    <xf numFmtId="43" fontId="0" fillId="4" borderId="44" xfId="0" applyNumberFormat="1" applyFill="1" applyBorder="1"/>
    <xf numFmtId="0" fontId="1" fillId="4" borderId="45" xfId="0" applyFont="1" applyFill="1" applyBorder="1"/>
    <xf numFmtId="0" fontId="0" fillId="4" borderId="38" xfId="0" applyFill="1" applyBorder="1"/>
    <xf numFmtId="43" fontId="0" fillId="4" borderId="46" xfId="0" applyNumberFormat="1" applyFill="1" applyBorder="1"/>
    <xf numFmtId="0" fontId="0" fillId="4" borderId="47" xfId="0" applyFill="1" applyBorder="1"/>
    <xf numFmtId="0" fontId="0" fillId="4" borderId="19" xfId="0" applyFill="1" applyBorder="1"/>
    <xf numFmtId="0" fontId="0" fillId="4" borderId="15" xfId="0" applyFill="1" applyBorder="1"/>
    <xf numFmtId="43" fontId="0" fillId="14" borderId="3" xfId="0" applyNumberFormat="1" applyFill="1" applyBorder="1"/>
    <xf numFmtId="43" fontId="0" fillId="14" borderId="4" xfId="0" applyNumberFormat="1" applyFill="1" applyBorder="1"/>
    <xf numFmtId="164" fontId="0" fillId="14" borderId="3" xfId="0" applyNumberFormat="1" applyFill="1" applyBorder="1"/>
    <xf numFmtId="164" fontId="0" fillId="14" borderId="4" xfId="0" applyNumberFormat="1" applyFill="1" applyBorder="1"/>
    <xf numFmtId="0" fontId="0" fillId="10" borderId="2" xfId="0" applyFill="1" applyBorder="1"/>
    <xf numFmtId="43" fontId="0" fillId="7" borderId="36" xfId="0" applyNumberFormat="1" applyFill="1" applyBorder="1"/>
    <xf numFmtId="43" fontId="0" fillId="7" borderId="37" xfId="0" applyNumberFormat="1" applyFill="1" applyBorder="1"/>
    <xf numFmtId="43" fontId="0" fillId="7" borderId="34" xfId="0" applyNumberFormat="1" applyFill="1" applyBorder="1"/>
    <xf numFmtId="9" fontId="0" fillId="11" borderId="7" xfId="0" applyNumberFormat="1" applyFill="1" applyBorder="1"/>
    <xf numFmtId="9" fontId="0" fillId="11" borderId="5" xfId="0" applyNumberFormat="1" applyFill="1" applyBorder="1"/>
    <xf numFmtId="9" fontId="0" fillId="11" borderId="29" xfId="0" applyNumberFormat="1" applyFill="1" applyBorder="1"/>
    <xf numFmtId="9" fontId="0" fillId="11" borderId="29" xfId="2" applyFont="1" applyFill="1" applyBorder="1"/>
    <xf numFmtId="0" fontId="0" fillId="13" borderId="27" xfId="0" applyFill="1" applyBorder="1" applyAlignment="1"/>
    <xf numFmtId="0" fontId="0" fillId="13" borderId="28" xfId="0" applyFill="1" applyBorder="1" applyAlignment="1"/>
    <xf numFmtId="0" fontId="0" fillId="13" borderId="2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5" xfId="0" applyFill="1" applyBorder="1"/>
    <xf numFmtId="0" fontId="0" fillId="13" borderId="0" xfId="0" applyFill="1" applyBorder="1"/>
    <xf numFmtId="165" fontId="0" fillId="13" borderId="29" xfId="1" applyNumberFormat="1" applyFont="1" applyFill="1" applyBorder="1"/>
    <xf numFmtId="0" fontId="0" fillId="13" borderId="36" xfId="0" applyFill="1" applyBorder="1"/>
    <xf numFmtId="43" fontId="0" fillId="13" borderId="29" xfId="0" applyNumberFormat="1" applyFill="1" applyBorder="1"/>
    <xf numFmtId="43" fontId="0" fillId="13" borderId="36" xfId="0" applyNumberFormat="1" applyFill="1" applyBorder="1"/>
    <xf numFmtId="0" fontId="0" fillId="13" borderId="29" xfId="0" applyFill="1" applyBorder="1"/>
    <xf numFmtId="0" fontId="0" fillId="13" borderId="27" xfId="0" applyFill="1" applyBorder="1"/>
    <xf numFmtId="165" fontId="0" fillId="0" borderId="28" xfId="1" applyNumberFormat="1" applyFont="1" applyBorder="1"/>
    <xf numFmtId="0" fontId="0" fillId="0" borderId="0" xfId="0" applyFill="1" applyBorder="1"/>
    <xf numFmtId="14" fontId="0" fillId="0" borderId="35" xfId="0" applyNumberFormat="1" applyBorder="1"/>
    <xf numFmtId="0" fontId="0" fillId="7" borderId="23" xfId="0" applyFill="1" applyBorder="1"/>
    <xf numFmtId="0" fontId="0" fillId="7" borderId="10" xfId="0" applyFill="1" applyBorder="1"/>
    <xf numFmtId="0" fontId="1" fillId="7" borderId="49" xfId="0" applyFont="1" applyFill="1" applyBorder="1"/>
    <xf numFmtId="0" fontId="1" fillId="7" borderId="50" xfId="0" applyFont="1" applyFill="1" applyBorder="1"/>
    <xf numFmtId="0" fontId="1" fillId="7" borderId="51" xfId="0" applyFont="1" applyFill="1" applyBorder="1"/>
    <xf numFmtId="0" fontId="6" fillId="7" borderId="49" xfId="0" applyFont="1" applyFill="1" applyBorder="1"/>
    <xf numFmtId="0" fontId="6" fillId="7" borderId="50" xfId="0" applyFont="1" applyFill="1" applyBorder="1"/>
    <xf numFmtId="0" fontId="6" fillId="7" borderId="51" xfId="0" applyFont="1" applyFill="1" applyBorder="1"/>
    <xf numFmtId="43" fontId="0" fillId="7" borderId="52" xfId="1" applyFont="1" applyFill="1" applyBorder="1"/>
    <xf numFmtId="43" fontId="0" fillId="7" borderId="48" xfId="1" applyFont="1" applyFill="1" applyBorder="1"/>
    <xf numFmtId="43" fontId="0" fillId="7" borderId="12" xfId="1" applyFont="1" applyFill="1" applyBorder="1"/>
    <xf numFmtId="43" fontId="0" fillId="7" borderId="53" xfId="1" applyFont="1" applyFill="1" applyBorder="1"/>
    <xf numFmtId="43" fontId="0" fillId="7" borderId="54" xfId="1" applyFont="1" applyFill="1" applyBorder="1"/>
    <xf numFmtId="0" fontId="0" fillId="11" borderId="0" xfId="0" applyFill="1"/>
    <xf numFmtId="165" fontId="0" fillId="0" borderId="0" xfId="1" applyNumberFormat="1" applyFont="1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0" xfId="0" applyFill="1" applyBorder="1"/>
    <xf numFmtId="0" fontId="0" fillId="11" borderId="11" xfId="0" applyFill="1" applyBorder="1"/>
    <xf numFmtId="0" fontId="1" fillId="11" borderId="23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0" fontId="0" fillId="11" borderId="25" xfId="2" applyNumberFormat="1" applyFont="1" applyFill="1" applyBorder="1"/>
    <xf numFmtId="0" fontId="0" fillId="11" borderId="11" xfId="2" applyNumberFormat="1" applyFont="1" applyFill="1" applyBorder="1"/>
    <xf numFmtId="0" fontId="1" fillId="13" borderId="28" xfId="0" applyFont="1" applyFill="1" applyBorder="1"/>
    <xf numFmtId="43" fontId="1" fillId="13" borderId="5" xfId="0" applyNumberFormat="1" applyFont="1" applyFill="1" applyBorder="1"/>
    <xf numFmtId="43" fontId="1" fillId="13" borderId="37" xfId="0" applyNumberFormat="1" applyFont="1" applyFill="1" applyBorder="1"/>
    <xf numFmtId="0" fontId="1" fillId="7" borderId="1" xfId="0" applyFont="1" applyFill="1" applyBorder="1" applyAlignment="1">
      <alignment horizontal="right"/>
    </xf>
    <xf numFmtId="43" fontId="1" fillId="7" borderId="1" xfId="0" applyNumberFormat="1" applyFont="1" applyFill="1" applyBorder="1"/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54" xfId="0" applyBorder="1"/>
    <xf numFmtId="0" fontId="0" fillId="0" borderId="15" xfId="0" applyBorder="1"/>
    <xf numFmtId="0" fontId="0" fillId="0" borderId="19" xfId="0" applyBorder="1"/>
    <xf numFmtId="0" fontId="0" fillId="0" borderId="12" xfId="0" applyBorder="1"/>
    <xf numFmtId="0" fontId="0" fillId="0" borderId="55" xfId="0" applyBorder="1"/>
    <xf numFmtId="0" fontId="0" fillId="0" borderId="56" xfId="0" applyBorder="1"/>
    <xf numFmtId="0" fontId="0" fillId="0" borderId="16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7" borderId="29" xfId="0" applyFill="1" applyBorder="1"/>
    <xf numFmtId="14" fontId="0" fillId="0" borderId="27" xfId="0" applyNumberFormat="1" applyBorder="1"/>
    <xf numFmtId="14" fontId="0" fillId="0" borderId="0" xfId="0" applyNumberFormat="1"/>
    <xf numFmtId="3" fontId="0" fillId="0" borderId="0" xfId="0" applyNumberFormat="1"/>
    <xf numFmtId="44" fontId="0" fillId="12" borderId="39" xfId="0" applyNumberFormat="1" applyFill="1" applyBorder="1"/>
    <xf numFmtId="44" fontId="0" fillId="12" borderId="45" xfId="0" applyNumberFormat="1" applyFill="1" applyBorder="1"/>
    <xf numFmtId="44" fontId="0" fillId="12" borderId="42" xfId="0" applyNumberFormat="1" applyFill="1" applyBorder="1"/>
    <xf numFmtId="44" fontId="0" fillId="11" borderId="31" xfId="0" applyNumberFormat="1" applyFill="1" applyBorder="1"/>
    <xf numFmtId="44" fontId="0" fillId="11" borderId="17" xfId="0" applyNumberFormat="1" applyFill="1" applyBorder="1"/>
    <xf numFmtId="44" fontId="0" fillId="11" borderId="18" xfId="0" applyNumberFormat="1" applyFill="1" applyBorder="1"/>
    <xf numFmtId="165" fontId="0" fillId="0" borderId="35" xfId="1" applyNumberFormat="1" applyFont="1" applyBorder="1"/>
    <xf numFmtId="0" fontId="0" fillId="0" borderId="37" xfId="0" applyBorder="1" applyAlignment="1">
      <alignment vertical="center" wrapText="1"/>
    </xf>
    <xf numFmtId="0" fontId="7" fillId="0" borderId="37" xfId="0" applyFont="1" applyBorder="1" applyAlignment="1">
      <alignment vertical="center" wrapText="1"/>
    </xf>
    <xf numFmtId="0" fontId="0" fillId="16" borderId="29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1" fillId="17" borderId="0" xfId="0" applyFont="1" applyFill="1"/>
    <xf numFmtId="3" fontId="0" fillId="0" borderId="0" xfId="0" applyNumberFormat="1" applyFill="1" applyBorder="1"/>
    <xf numFmtId="0" fontId="0" fillId="17" borderId="3" xfId="0" applyFill="1" applyBorder="1"/>
    <xf numFmtId="0" fontId="0" fillId="17" borderId="3" xfId="0" applyFill="1" applyBorder="1" applyAlignment="1">
      <alignment wrapText="1"/>
    </xf>
    <xf numFmtId="0" fontId="1" fillId="17" borderId="3" xfId="0" applyFont="1" applyFill="1" applyBorder="1"/>
    <xf numFmtId="0" fontId="0" fillId="18" borderId="3" xfId="0" applyFill="1" applyBorder="1"/>
    <xf numFmtId="0" fontId="0" fillId="2" borderId="3" xfId="0" applyFill="1" applyBorder="1"/>
    <xf numFmtId="0" fontId="9" fillId="8" borderId="3" xfId="0" applyFont="1" applyFill="1" applyBorder="1" applyAlignment="1">
      <alignment horizontal="center" wrapText="1"/>
    </xf>
    <xf numFmtId="0" fontId="0" fillId="18" borderId="0" xfId="0" applyFill="1"/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vertical="center"/>
    </xf>
    <xf numFmtId="0" fontId="0" fillId="17" borderId="0" xfId="0" applyFill="1"/>
    <xf numFmtId="0" fontId="0" fillId="17" borderId="0" xfId="0" applyFill="1" applyAlignment="1">
      <alignment horizontal="left"/>
    </xf>
    <xf numFmtId="0" fontId="14" fillId="13" borderId="31" xfId="0" applyFont="1" applyFill="1" applyBorder="1" applyAlignment="1">
      <alignment vertical="center" wrapText="1"/>
    </xf>
    <xf numFmtId="0" fontId="14" fillId="13" borderId="17" xfId="0" applyFont="1" applyFill="1" applyBorder="1" applyAlignment="1">
      <alignment vertical="center" wrapText="1"/>
    </xf>
    <xf numFmtId="0" fontId="14" fillId="13" borderId="18" xfId="0" applyFont="1" applyFill="1" applyBorder="1" applyAlignment="1">
      <alignment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1" fillId="19" borderId="1" xfId="0" applyFont="1" applyFill="1" applyBorder="1"/>
    <xf numFmtId="0" fontId="0" fillId="14" borderId="0" xfId="0" applyFill="1" applyBorder="1"/>
    <xf numFmtId="0" fontId="0" fillId="18" borderId="0" xfId="0" applyFill="1" applyBorder="1"/>
    <xf numFmtId="14" fontId="0" fillId="3" borderId="16" xfId="0" applyNumberFormat="1" applyFill="1" applyBorder="1"/>
    <xf numFmtId="0" fontId="0" fillId="3" borderId="23" xfId="0" applyFill="1" applyBorder="1"/>
    <xf numFmtId="0" fontId="0" fillId="3" borderId="24" xfId="0" applyFill="1" applyBorder="1"/>
    <xf numFmtId="43" fontId="0" fillId="3" borderId="25" xfId="1" applyFont="1" applyFill="1" applyBorder="1"/>
    <xf numFmtId="0" fontId="0" fillId="3" borderId="26" xfId="0" applyFill="1" applyBorder="1"/>
    <xf numFmtId="0" fontId="0" fillId="3" borderId="6" xfId="0" applyFill="1" applyBorder="1"/>
    <xf numFmtId="43" fontId="0" fillId="3" borderId="14" xfId="1" applyFont="1" applyFill="1" applyBorder="1"/>
    <xf numFmtId="0" fontId="0" fillId="3" borderId="8" xfId="0" applyFill="1" applyBorder="1"/>
    <xf numFmtId="0" fontId="0" fillId="3" borderId="13" xfId="0" applyFill="1" applyBorder="1"/>
    <xf numFmtId="14" fontId="0" fillId="3" borderId="17" xfId="0" applyNumberFormat="1" applyFill="1" applyBorder="1"/>
    <xf numFmtId="43" fontId="0" fillId="3" borderId="9" xfId="1" applyFont="1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22" xfId="0" applyFill="1" applyBorder="1"/>
    <xf numFmtId="0" fontId="0" fillId="3" borderId="20" xfId="0" applyFill="1" applyBorder="1"/>
    <xf numFmtId="43" fontId="0" fillId="3" borderId="11" xfId="1" applyFont="1" applyFill="1" applyBorder="1"/>
    <xf numFmtId="0" fontId="17" fillId="0" borderId="1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14" fontId="17" fillId="0" borderId="5" xfId="0" applyNumberFormat="1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0" fillId="20" borderId="0" xfId="0" applyFill="1"/>
    <xf numFmtId="0" fontId="0" fillId="17" borderId="2" xfId="0" applyFont="1" applyFill="1" applyBorder="1"/>
    <xf numFmtId="0" fontId="0" fillId="17" borderId="3" xfId="0" applyFont="1" applyFill="1" applyBorder="1" applyAlignment="1">
      <alignment horizontal="left"/>
    </xf>
    <xf numFmtId="0" fontId="0" fillId="17" borderId="4" xfId="0" applyFont="1" applyFill="1" applyBorder="1"/>
    <xf numFmtId="14" fontId="0" fillId="20" borderId="0" xfId="0" applyNumberFormat="1" applyFill="1"/>
    <xf numFmtId="0" fontId="0" fillId="17" borderId="0" xfId="0" applyFill="1" applyBorder="1"/>
    <xf numFmtId="0" fontId="0" fillId="17" borderId="4" xfId="0" applyFill="1" applyBorder="1"/>
    <xf numFmtId="0" fontId="0" fillId="21" borderId="0" xfId="0" applyFont="1" applyFill="1" applyBorder="1" applyAlignment="1" applyProtection="1">
      <alignment horizontal="left"/>
    </xf>
    <xf numFmtId="6" fontId="0" fillId="21" borderId="0" xfId="0" applyNumberFormat="1" applyFont="1" applyFill="1" applyBorder="1" applyAlignment="1" applyProtection="1">
      <alignment horizontal="left"/>
    </xf>
    <xf numFmtId="0" fontId="0" fillId="21" borderId="0" xfId="0" applyFont="1" applyFill="1" applyBorder="1"/>
    <xf numFmtId="0" fontId="4" fillId="21" borderId="0" xfId="0" applyFont="1" applyFill="1" applyBorder="1"/>
    <xf numFmtId="0" fontId="0" fillId="21" borderId="0" xfId="0" applyFont="1" applyFill="1" applyBorder="1" applyAlignment="1" applyProtection="1"/>
    <xf numFmtId="0" fontId="0" fillId="5" borderId="0" xfId="0" applyFill="1"/>
    <xf numFmtId="0" fontId="0" fillId="17" borderId="1" xfId="0" applyFill="1" applyBorder="1" applyAlignment="1">
      <alignment horizontal="left"/>
    </xf>
    <xf numFmtId="0" fontId="18" fillId="17" borderId="0" xfId="0" applyFont="1" applyFill="1" applyAlignment="1">
      <alignment horizontal="left"/>
    </xf>
    <xf numFmtId="0" fontId="18" fillId="17" borderId="0" xfId="0" applyFont="1" applyFill="1"/>
    <xf numFmtId="0" fontId="0" fillId="9" borderId="0" xfId="0" applyFill="1"/>
    <xf numFmtId="0" fontId="0" fillId="9" borderId="0" xfId="0" applyFont="1" applyFill="1" applyBorder="1" applyAlignment="1" applyProtection="1">
      <alignment horizontal="left"/>
    </xf>
    <xf numFmtId="0" fontId="7" fillId="17" borderId="32" xfId="0" applyFont="1" applyFill="1" applyBorder="1" applyAlignment="1">
      <alignment vertical="center" wrapText="1"/>
    </xf>
    <xf numFmtId="0" fontId="7" fillId="17" borderId="33" xfId="0" applyFont="1" applyFill="1" applyBorder="1" applyAlignment="1">
      <alignment vertical="center" wrapText="1"/>
    </xf>
    <xf numFmtId="0" fontId="7" fillId="17" borderId="33" xfId="0" applyFont="1" applyFill="1" applyBorder="1" applyAlignment="1">
      <alignment horizontal="center" vertical="center" wrapText="1"/>
    </xf>
    <xf numFmtId="0" fontId="0" fillId="16" borderId="36" xfId="0" applyFill="1" applyBorder="1" applyAlignment="1">
      <alignment horizontal="center"/>
    </xf>
    <xf numFmtId="15" fontId="7" fillId="0" borderId="6" xfId="0" applyNumberFormat="1" applyFont="1" applyBorder="1" applyAlignment="1">
      <alignment vertical="center" wrapText="1"/>
    </xf>
    <xf numFmtId="18" fontId="7" fillId="0" borderId="6" xfId="0" applyNumberFormat="1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vertical="center" wrapText="1"/>
    </xf>
    <xf numFmtId="0" fontId="7" fillId="0" borderId="15" xfId="0" applyFont="1" applyBorder="1" applyAlignment="1">
      <alignment vertical="center" wrapText="1"/>
    </xf>
    <xf numFmtId="15" fontId="7" fillId="0" borderId="57" xfId="0" applyNumberFormat="1" applyFont="1" applyBorder="1" applyAlignment="1">
      <alignment vertical="center" wrapText="1"/>
    </xf>
    <xf numFmtId="18" fontId="7" fillId="0" borderId="57" xfId="0" applyNumberFormat="1" applyFont="1" applyBorder="1" applyAlignment="1">
      <alignment vertical="center" wrapText="1"/>
    </xf>
    <xf numFmtId="0" fontId="7" fillId="0" borderId="57" xfId="0" applyFont="1" applyBorder="1" applyAlignment="1">
      <alignment vertical="center" wrapText="1"/>
    </xf>
    <xf numFmtId="0" fontId="7" fillId="0" borderId="57" xfId="0" applyFont="1" applyBorder="1" applyAlignment="1">
      <alignment horizontal="center" vertical="center" wrapText="1"/>
    </xf>
    <xf numFmtId="0" fontId="0" fillId="0" borderId="57" xfId="0" applyBorder="1" applyAlignment="1">
      <alignment vertical="center" wrapText="1"/>
    </xf>
    <xf numFmtId="0" fontId="0" fillId="17" borderId="2" xfId="0" applyFill="1" applyBorder="1"/>
    <xf numFmtId="15" fontId="21" fillId="0" borderId="58" xfId="0" applyNumberFormat="1" applyFont="1" applyBorder="1" applyAlignment="1">
      <alignment vertical="center" wrapText="1"/>
    </xf>
    <xf numFmtId="18" fontId="21" fillId="0" borderId="58" xfId="0" applyNumberFormat="1" applyFont="1" applyBorder="1" applyAlignment="1">
      <alignment vertical="center" wrapText="1"/>
    </xf>
    <xf numFmtId="0" fontId="21" fillId="0" borderId="58" xfId="0" applyFont="1" applyBorder="1" applyAlignment="1">
      <alignment vertical="center" wrapText="1"/>
    </xf>
    <xf numFmtId="0" fontId="21" fillId="0" borderId="58" xfId="0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15" borderId="3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5" fillId="13" borderId="32" xfId="0" applyFont="1" applyFill="1" applyBorder="1" applyAlignment="1">
      <alignment horizontal="center"/>
    </xf>
    <xf numFmtId="0" fontId="5" fillId="13" borderId="33" xfId="0" applyFont="1" applyFill="1" applyBorder="1" applyAlignment="1">
      <alignment horizontal="center"/>
    </xf>
    <xf numFmtId="0" fontId="5" fillId="13" borderId="0" xfId="0" applyFont="1" applyFill="1" applyBorder="1" applyAlignment="1">
      <alignment horizontal="center"/>
    </xf>
    <xf numFmtId="0" fontId="5" fillId="13" borderId="36" xfId="0" applyFont="1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5" fillId="7" borderId="32" xfId="0" applyFont="1" applyFill="1" applyBorder="1" applyAlignment="1">
      <alignment horizontal="center"/>
    </xf>
    <xf numFmtId="0" fontId="5" fillId="7" borderId="33" xfId="0" applyFont="1" applyFill="1" applyBorder="1" applyAlignment="1">
      <alignment horizontal="center"/>
    </xf>
    <xf numFmtId="0" fontId="5" fillId="7" borderId="3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512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0</xdr:col>
          <xdr:colOff>1238250</xdr:colOff>
          <xdr:row>0</xdr:row>
          <xdr:rowOff>704850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133350</xdr:rowOff>
        </xdr:from>
        <xdr:to>
          <xdr:col>4</xdr:col>
          <xdr:colOff>533400</xdr:colOff>
          <xdr:row>0</xdr:row>
          <xdr:rowOff>676275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Convert to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Room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133350</xdr:rowOff>
        </xdr:from>
        <xdr:to>
          <xdr:col>6</xdr:col>
          <xdr:colOff>533400</xdr:colOff>
          <xdr:row>0</xdr:row>
          <xdr:rowOff>676275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</xdr:colOff>
          <xdr:row>0</xdr:row>
          <xdr:rowOff>47625</xdr:rowOff>
        </xdr:from>
        <xdr:to>
          <xdr:col>32</xdr:col>
          <xdr:colOff>571500</xdr:colOff>
          <xdr:row>0</xdr:row>
          <xdr:rowOff>542925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Convert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Events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57150</xdr:colOff>
          <xdr:row>0</xdr:row>
          <xdr:rowOff>47625</xdr:rowOff>
        </xdr:from>
        <xdr:to>
          <xdr:col>34</xdr:col>
          <xdr:colOff>561975</xdr:colOff>
          <xdr:row>0</xdr:row>
          <xdr:rowOff>542925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28575</xdr:rowOff>
        </xdr:from>
        <xdr:to>
          <xdr:col>17</xdr:col>
          <xdr:colOff>590550</xdr:colOff>
          <xdr:row>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28575</xdr:rowOff>
        </xdr:from>
        <xdr:to>
          <xdr:col>17</xdr:col>
          <xdr:colOff>590550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28575</xdr:rowOff>
        </xdr:from>
        <xdr:to>
          <xdr:col>17</xdr:col>
          <xdr:colOff>590550</xdr:colOff>
          <xdr:row>2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28575</xdr:rowOff>
        </xdr:from>
        <xdr:to>
          <xdr:col>17</xdr:col>
          <xdr:colOff>590550</xdr:colOff>
          <xdr:row>2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0</xdr:row>
          <xdr:rowOff>38100</xdr:rowOff>
        </xdr:from>
        <xdr:to>
          <xdr:col>23</xdr:col>
          <xdr:colOff>619125</xdr:colOff>
          <xdr:row>2</xdr:row>
          <xdr:rowOff>161925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9525</xdr:rowOff>
        </xdr:from>
        <xdr:to>
          <xdr:col>13</xdr:col>
          <xdr:colOff>590550</xdr:colOff>
          <xdr:row>9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Comment Pad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11</xdr:row>
          <xdr:rowOff>9525</xdr:rowOff>
        </xdr:from>
        <xdr:to>
          <xdr:col>16</xdr:col>
          <xdr:colOff>0</xdr:colOff>
          <xdr:row>16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4</xdr:row>
          <xdr:rowOff>9525</xdr:rowOff>
        </xdr:from>
        <xdr:to>
          <xdr:col>17</xdr:col>
          <xdr:colOff>600075</xdr:colOff>
          <xdr:row>9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Clear CommentPad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BC36"/>
  <sheetViews>
    <sheetView tabSelected="1" workbookViewId="0">
      <pane ySplit="1" topLeftCell="A2" activePane="bottomLeft" state="frozen"/>
      <selection pane="bottomLeft" activeCell="E11" sqref="E11"/>
    </sheetView>
  </sheetViews>
  <sheetFormatPr defaultRowHeight="15" x14ac:dyDescent="0.25"/>
  <cols>
    <col min="1" max="1" width="20" style="150" customWidth="1"/>
    <col min="2" max="2" width="72.7109375" style="162" customWidth="1"/>
    <col min="3" max="3" width="10.42578125" style="161" customWidth="1"/>
    <col min="4" max="6" width="9.7109375" style="161" bestFit="1" customWidth="1"/>
    <col min="7" max="12" width="9.140625" style="161"/>
    <col min="13" max="15" width="9.7109375" style="161" bestFit="1" customWidth="1"/>
    <col min="16" max="21" width="9.140625" style="161"/>
  </cols>
  <sheetData>
    <row r="1" spans="1:55" ht="63.75" thickBot="1" x14ac:dyDescent="0.3">
      <c r="A1" s="167"/>
      <c r="B1" s="166" t="s">
        <v>1782</v>
      </c>
      <c r="D1" s="168"/>
      <c r="E1" s="168"/>
      <c r="F1" s="169"/>
      <c r="G1" s="169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</row>
    <row r="2" spans="1:55" ht="16.5" thickBot="1" x14ac:dyDescent="0.3">
      <c r="A2" s="163" t="s">
        <v>1768</v>
      </c>
      <c r="B2" s="186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</row>
    <row r="3" spans="1:55" ht="16.5" thickBot="1" x14ac:dyDescent="0.3">
      <c r="A3" s="164" t="s">
        <v>1769</v>
      </c>
      <c r="B3" s="188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</row>
    <row r="4" spans="1:55" ht="16.5" thickBot="1" x14ac:dyDescent="0.3">
      <c r="A4" s="164" t="s">
        <v>1770</v>
      </c>
      <c r="B4" s="187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</row>
    <row r="5" spans="1:55" ht="16.5" thickBot="1" x14ac:dyDescent="0.3">
      <c r="A5" s="164" t="s">
        <v>1771</v>
      </c>
      <c r="B5" s="188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</row>
    <row r="6" spans="1:55" ht="16.5" thickBot="1" x14ac:dyDescent="0.3">
      <c r="A6" s="164" t="s">
        <v>1772</v>
      </c>
      <c r="B6" s="188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</row>
    <row r="7" spans="1:55" ht="16.5" thickBot="1" x14ac:dyDescent="0.3">
      <c r="A7" s="164" t="s">
        <v>1773</v>
      </c>
      <c r="B7" s="188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</row>
    <row r="8" spans="1:55" ht="16.5" thickBot="1" x14ac:dyDescent="0.3">
      <c r="A8" s="164" t="s">
        <v>1774</v>
      </c>
      <c r="B8" s="188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</row>
    <row r="9" spans="1:55" ht="16.5" thickBot="1" x14ac:dyDescent="0.3">
      <c r="A9" s="164" t="s">
        <v>1775</v>
      </c>
      <c r="B9" s="188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</row>
    <row r="10" spans="1:55" ht="16.5" thickBot="1" x14ac:dyDescent="0.3">
      <c r="A10" s="164" t="s">
        <v>1776</v>
      </c>
      <c r="B10" s="187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</row>
    <row r="11" spans="1:55" ht="16.5" thickBot="1" x14ac:dyDescent="0.3">
      <c r="A11" s="164" t="s">
        <v>1777</v>
      </c>
      <c r="B11" s="188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</row>
    <row r="12" spans="1:55" ht="16.5" thickBot="1" x14ac:dyDescent="0.3">
      <c r="A12" s="164" t="s">
        <v>1778</v>
      </c>
      <c r="B12" s="189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</row>
    <row r="13" spans="1:55" ht="16.5" thickBot="1" x14ac:dyDescent="0.3">
      <c r="A13" s="164" t="s">
        <v>1779</v>
      </c>
      <c r="B13" s="189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</row>
    <row r="14" spans="1:55" ht="16.5" thickBot="1" x14ac:dyDescent="0.3">
      <c r="A14" s="164" t="s">
        <v>1780</v>
      </c>
      <c r="B14" s="188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</row>
    <row r="15" spans="1:55" ht="16.5" thickBot="1" x14ac:dyDescent="0.3">
      <c r="A15" s="164" t="s">
        <v>1781</v>
      </c>
      <c r="B15" s="188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  <c r="AM15" s="161"/>
      <c r="AN15" s="161"/>
      <c r="AO15" s="161"/>
      <c r="AP15" s="161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</row>
    <row r="16" spans="1:55" ht="16.5" thickBot="1" x14ac:dyDescent="0.3">
      <c r="A16" s="164" t="s">
        <v>104</v>
      </c>
      <c r="B16" s="188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</row>
    <row r="17" spans="1:55" ht="16.5" thickBot="1" x14ac:dyDescent="0.3">
      <c r="A17" s="164" t="s">
        <v>1801</v>
      </c>
      <c r="B17" s="188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</row>
    <row r="18" spans="1:55" ht="16.5" thickBot="1" x14ac:dyDescent="0.3">
      <c r="A18" s="164" t="s">
        <v>1802</v>
      </c>
      <c r="B18" s="188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</row>
    <row r="19" spans="1:55" ht="16.5" thickBot="1" x14ac:dyDescent="0.3">
      <c r="A19" s="165" t="s">
        <v>1800</v>
      </c>
      <c r="B19" s="205">
        <f>IFERROR(DATEDIF(B12, B13, "d"), "")</f>
        <v>0</v>
      </c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</row>
    <row r="20" spans="1:55" x14ac:dyDescent="0.25"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</row>
    <row r="21" spans="1:55" x14ac:dyDescent="0.25"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</row>
    <row r="22" spans="1:55" x14ac:dyDescent="0.25"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</row>
    <row r="23" spans="1:55" x14ac:dyDescent="0.25"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</row>
    <row r="24" spans="1:55" x14ac:dyDescent="0.25"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</row>
    <row r="25" spans="1:55" x14ac:dyDescent="0.25"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</row>
    <row r="26" spans="1:55" x14ac:dyDescent="0.25"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</row>
    <row r="27" spans="1:55" x14ac:dyDescent="0.25"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</row>
    <row r="28" spans="1:55" x14ac:dyDescent="0.25"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</row>
    <row r="29" spans="1:55" x14ac:dyDescent="0.25"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</row>
    <row r="30" spans="1:55" x14ac:dyDescent="0.25"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</row>
    <row r="31" spans="1:55" x14ac:dyDescent="0.25"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</row>
    <row r="32" spans="1:55" ht="15.75" thickBot="1" x14ac:dyDescent="0.3">
      <c r="B32" s="206" t="str">
        <f>IF(E34=1, F34&amp;" + "&amp;D34, F34)</f>
        <v>Bella Deluxe</v>
      </c>
      <c r="E32" s="207">
        <f>IF(D34&gt;0, 1, 0)</f>
        <v>0</v>
      </c>
      <c r="F32" s="207" t="str">
        <f>VLOOKUP($C34, 'BR RoomType'!$A:$B, 2, 0)</f>
        <v>Bella Deluxe</v>
      </c>
      <c r="G32" s="197">
        <v>1</v>
      </c>
      <c r="H32" s="197" t="str">
        <f>IF(H33&lt;&gt;"", G32+1, "")</f>
        <v/>
      </c>
      <c r="I32" s="197" t="str">
        <f t="shared" ref="I32:T32" si="0">IF(I33&lt;&gt;"", H32+1, "")</f>
        <v/>
      </c>
      <c r="J32" s="197" t="str">
        <f t="shared" si="0"/>
        <v/>
      </c>
      <c r="K32" s="197" t="str">
        <f t="shared" si="0"/>
        <v/>
      </c>
      <c r="L32" s="197" t="str">
        <f t="shared" si="0"/>
        <v/>
      </c>
      <c r="M32" s="197" t="str">
        <f t="shared" si="0"/>
        <v/>
      </c>
      <c r="N32" s="197" t="str">
        <f t="shared" si="0"/>
        <v/>
      </c>
      <c r="O32" s="197" t="str">
        <f t="shared" si="0"/>
        <v/>
      </c>
      <c r="P32" s="197" t="str">
        <f t="shared" si="0"/>
        <v/>
      </c>
      <c r="Q32" s="197" t="str">
        <f t="shared" si="0"/>
        <v/>
      </c>
      <c r="R32" s="197" t="str">
        <f t="shared" si="0"/>
        <v/>
      </c>
      <c r="S32" s="197" t="str">
        <f t="shared" si="0"/>
        <v/>
      </c>
      <c r="T32" s="197" t="str">
        <f t="shared" si="0"/>
        <v/>
      </c>
      <c r="U32" s="197" t="str">
        <f t="shared" ref="U32" si="1">IF(U33&lt;&gt;"", T32+1, "")</f>
        <v/>
      </c>
      <c r="V32" s="197" t="str">
        <f t="shared" ref="V32" si="2">IF(V33&lt;&gt;"", U32+1, "")</f>
        <v/>
      </c>
      <c r="W32" s="197" t="str">
        <f t="shared" ref="W32" si="3">IF(W33&lt;&gt;"", V32+1, "")</f>
        <v/>
      </c>
      <c r="X32" s="197" t="str">
        <f t="shared" ref="X32" si="4">IF(X33&lt;&gt;"", W32+1, "")</f>
        <v/>
      </c>
      <c r="Y32" s="197" t="str">
        <f t="shared" ref="Y32" si="5">IF(Y33&lt;&gt;"", X32+1, "")</f>
        <v/>
      </c>
      <c r="Z32" s="197" t="str">
        <f t="shared" ref="Z32" si="6">IF(Z33&lt;&gt;"", Y32+1, "")</f>
        <v/>
      </c>
      <c r="AA32" s="197" t="str">
        <f t="shared" ref="AA32" si="7">IF(AA33&lt;&gt;"", Z32+1, "")</f>
        <v/>
      </c>
      <c r="AB32" s="197" t="str">
        <f t="shared" ref="AB32" si="8">IF(AB33&lt;&gt;"", AA32+1, "")</f>
        <v/>
      </c>
      <c r="AC32" s="197" t="str">
        <f t="shared" ref="AC32" si="9">IF(AC33&lt;&gt;"", AB32+1, "")</f>
        <v/>
      </c>
      <c r="AD32" s="197" t="str">
        <f t="shared" ref="AD32" si="10">IF(AD33&lt;&gt;"", AC32+1, "")</f>
        <v/>
      </c>
      <c r="AE32" s="197" t="str">
        <f t="shared" ref="AE32" si="11">IF(AE33&lt;&gt;"", AD32+1, "")</f>
        <v/>
      </c>
      <c r="AF32" s="197" t="str">
        <f t="shared" ref="AF32" si="12">IF(AF33&lt;&gt;"", AE32+1, "")</f>
        <v/>
      </c>
      <c r="AG32" s="197" t="str">
        <f t="shared" ref="AG32" si="13">IF(AG33&lt;&gt;"", AF32+1, "")</f>
        <v/>
      </c>
      <c r="AH32" s="197" t="str">
        <f t="shared" ref="AH32" si="14">IF(AH33&lt;&gt;"", AG32+1, "")</f>
        <v/>
      </c>
      <c r="AI32" s="197" t="str">
        <f t="shared" ref="AI32" si="15">IF(AI33&lt;&gt;"", AH32+1, "")</f>
        <v/>
      </c>
      <c r="AJ32" s="197" t="str">
        <f t="shared" ref="AJ32" si="16">IF(AJ33&lt;&gt;"", AI32+1, "")</f>
        <v/>
      </c>
      <c r="AK32" s="197" t="str">
        <f t="shared" ref="AK32" si="17">IF(AK33&lt;&gt;"", AJ32+1, "")</f>
        <v/>
      </c>
      <c r="AL32" s="197" t="str">
        <f t="shared" ref="AL32" si="18">IF(AL33&lt;&gt;"", AK32+1, "")</f>
        <v/>
      </c>
      <c r="AM32" s="197" t="str">
        <f t="shared" ref="AM32" si="19">IF(AM33&lt;&gt;"", AL32+1, "")</f>
        <v/>
      </c>
      <c r="AN32" s="197" t="str">
        <f t="shared" ref="AN32" si="20">IF(AN33&lt;&gt;"", AM32+1, "")</f>
        <v/>
      </c>
      <c r="AO32" s="197" t="str">
        <f t="shared" ref="AO32" si="21">IF(AO33&lt;&gt;"", AN32+1, "")</f>
        <v/>
      </c>
      <c r="AP32" s="197" t="str">
        <f t="shared" ref="AP32" si="22">IF(AP33&lt;&gt;"", AO32+1, "")</f>
        <v/>
      </c>
      <c r="AQ32" s="197" t="str">
        <f t="shared" ref="AQ32" si="23">IF(AQ33&lt;&gt;"", AP32+1, "")</f>
        <v/>
      </c>
      <c r="AR32" s="197" t="str">
        <f t="shared" ref="AR32" si="24">IF(AR33&lt;&gt;"", AQ32+1, "")</f>
        <v/>
      </c>
      <c r="AS32" s="197" t="str">
        <f t="shared" ref="AS32" si="25">IF(AS33&lt;&gt;"", AR32+1, "")</f>
        <v/>
      </c>
      <c r="AT32" s="197" t="str">
        <f t="shared" ref="AT32" si="26">IF(AT33&lt;&gt;"", AS32+1, "")</f>
        <v/>
      </c>
      <c r="AU32" s="197" t="str">
        <f t="shared" ref="AU32" si="27">IF(AU33&lt;&gt;"", AT32+1, "")</f>
        <v/>
      </c>
      <c r="AV32" s="197" t="str">
        <f t="shared" ref="AV32" si="28">IF(AV33&lt;&gt;"", AU32+1, "")</f>
        <v/>
      </c>
      <c r="AW32" s="197" t="str">
        <f t="shared" ref="AW32" si="29">IF(AW33&lt;&gt;"", AV32+1, "")</f>
        <v/>
      </c>
      <c r="AX32" s="197" t="str">
        <f t="shared" ref="AX32" si="30">IF(AX33&lt;&gt;"", AW32+1, "")</f>
        <v/>
      </c>
      <c r="AY32" s="197" t="str">
        <f t="shared" ref="AY32" si="31">IF(AY33&lt;&gt;"", AX32+1, "")</f>
        <v/>
      </c>
      <c r="AZ32" s="197" t="str">
        <f t="shared" ref="AZ32" si="32">IF(AZ33&lt;&gt;"", AY32+1, "")</f>
        <v/>
      </c>
      <c r="BA32" s="197" t="str">
        <f t="shared" ref="BA32" si="33">IF(BA33&lt;&gt;"", AZ32+1, "")</f>
        <v/>
      </c>
      <c r="BB32" s="197" t="str">
        <f t="shared" ref="BB32" si="34">IF(BB33&lt;&gt;"", BA32+1, "")</f>
        <v/>
      </c>
      <c r="BC32" s="197" t="str">
        <f t="shared" ref="BC32" si="35">IF(BC33&lt;&gt;"", BB32+1, "")</f>
        <v/>
      </c>
    </row>
    <row r="33" spans="1:55" ht="15.75" thickBot="1" x14ac:dyDescent="0.3">
      <c r="A33" s="193" t="s">
        <v>104</v>
      </c>
      <c r="B33" s="194" t="s">
        <v>1786</v>
      </c>
      <c r="C33" s="152" t="s">
        <v>7</v>
      </c>
      <c r="D33" s="195" t="s">
        <v>1785</v>
      </c>
      <c r="E33" s="226"/>
      <c r="F33" s="198" t="s">
        <v>1806</v>
      </c>
      <c r="G33" s="196">
        <f>$B$12</f>
        <v>0</v>
      </c>
      <c r="H33" s="196" t="str">
        <f>IFERROR(IF(G33+1-$B$12&gt;=$B$19,"",G33+1),"")</f>
        <v/>
      </c>
      <c r="I33" s="196" t="str">
        <f t="shared" ref="I33:BC33" si="36">IFERROR(IF(H33+1-$B$12&gt;=$B$19,"",H33+1),"")</f>
        <v/>
      </c>
      <c r="J33" s="196" t="str">
        <f t="shared" si="36"/>
        <v/>
      </c>
      <c r="K33" s="196" t="str">
        <f t="shared" si="36"/>
        <v/>
      </c>
      <c r="L33" s="196" t="str">
        <f t="shared" si="36"/>
        <v/>
      </c>
      <c r="M33" s="196" t="str">
        <f t="shared" si="36"/>
        <v/>
      </c>
      <c r="N33" s="196" t="str">
        <f t="shared" si="36"/>
        <v/>
      </c>
      <c r="O33" s="196" t="str">
        <f t="shared" si="36"/>
        <v/>
      </c>
      <c r="P33" s="196" t="str">
        <f t="shared" si="36"/>
        <v/>
      </c>
      <c r="Q33" s="196" t="str">
        <f t="shared" si="36"/>
        <v/>
      </c>
      <c r="R33" s="196" t="str">
        <f t="shared" si="36"/>
        <v/>
      </c>
      <c r="S33" s="196" t="str">
        <f t="shared" si="36"/>
        <v/>
      </c>
      <c r="T33" s="196" t="str">
        <f t="shared" si="36"/>
        <v/>
      </c>
      <c r="U33" s="196" t="str">
        <f t="shared" si="36"/>
        <v/>
      </c>
      <c r="V33" s="196" t="str">
        <f t="shared" si="36"/>
        <v/>
      </c>
      <c r="W33" s="196" t="str">
        <f t="shared" si="36"/>
        <v/>
      </c>
      <c r="X33" s="196" t="str">
        <f t="shared" si="36"/>
        <v/>
      </c>
      <c r="Y33" s="196" t="str">
        <f t="shared" si="36"/>
        <v/>
      </c>
      <c r="Z33" s="196" t="str">
        <f t="shared" si="36"/>
        <v/>
      </c>
      <c r="AA33" s="196" t="str">
        <f t="shared" si="36"/>
        <v/>
      </c>
      <c r="AB33" s="196" t="str">
        <f t="shared" si="36"/>
        <v/>
      </c>
      <c r="AC33" s="196" t="str">
        <f t="shared" si="36"/>
        <v/>
      </c>
      <c r="AD33" s="196" t="str">
        <f t="shared" si="36"/>
        <v/>
      </c>
      <c r="AE33" s="196" t="str">
        <f t="shared" si="36"/>
        <v/>
      </c>
      <c r="AF33" s="196" t="str">
        <f t="shared" si="36"/>
        <v/>
      </c>
      <c r="AG33" s="196" t="str">
        <f t="shared" si="36"/>
        <v/>
      </c>
      <c r="AH33" s="196" t="str">
        <f t="shared" si="36"/>
        <v/>
      </c>
      <c r="AI33" s="196" t="str">
        <f t="shared" si="36"/>
        <v/>
      </c>
      <c r="AJ33" s="196" t="str">
        <f t="shared" si="36"/>
        <v/>
      </c>
      <c r="AK33" s="196" t="str">
        <f t="shared" si="36"/>
        <v/>
      </c>
      <c r="AL33" s="196" t="str">
        <f t="shared" si="36"/>
        <v/>
      </c>
      <c r="AM33" s="196" t="str">
        <f t="shared" si="36"/>
        <v/>
      </c>
      <c r="AN33" s="196" t="str">
        <f t="shared" si="36"/>
        <v/>
      </c>
      <c r="AO33" s="196" t="str">
        <f t="shared" si="36"/>
        <v/>
      </c>
      <c r="AP33" s="196" t="str">
        <f t="shared" si="36"/>
        <v/>
      </c>
      <c r="AQ33" s="196" t="str">
        <f t="shared" si="36"/>
        <v/>
      </c>
      <c r="AR33" s="196" t="str">
        <f t="shared" si="36"/>
        <v/>
      </c>
      <c r="AS33" s="196" t="str">
        <f t="shared" si="36"/>
        <v/>
      </c>
      <c r="AT33" s="196" t="str">
        <f t="shared" si="36"/>
        <v/>
      </c>
      <c r="AU33" s="196" t="str">
        <f t="shared" si="36"/>
        <v/>
      </c>
      <c r="AV33" s="196" t="str">
        <f t="shared" si="36"/>
        <v/>
      </c>
      <c r="AW33" s="196" t="str">
        <f t="shared" si="36"/>
        <v/>
      </c>
      <c r="AX33" s="196" t="str">
        <f t="shared" si="36"/>
        <v/>
      </c>
      <c r="AY33" s="196" t="str">
        <f t="shared" si="36"/>
        <v/>
      </c>
      <c r="AZ33" s="196" t="str">
        <f t="shared" si="36"/>
        <v/>
      </c>
      <c r="BA33" s="196" t="str">
        <f t="shared" si="36"/>
        <v/>
      </c>
      <c r="BB33" s="196" t="str">
        <f t="shared" si="36"/>
        <v/>
      </c>
      <c r="BC33" s="196" t="str">
        <f t="shared" si="36"/>
        <v/>
      </c>
    </row>
    <row r="34" spans="1:55" s="192" customFormat="1" x14ac:dyDescent="0.25">
      <c r="A34" t="s">
        <v>1</v>
      </c>
      <c r="B34" t="s">
        <v>1788</v>
      </c>
      <c r="C34" t="s">
        <v>22</v>
      </c>
      <c r="D34"/>
      <c r="E34">
        <f t="shared" ref="E34:E36" si="37">IF(D34&gt;0, 1, 0)</f>
        <v>0</v>
      </c>
      <c r="F34" t="str">
        <f>VLOOKUP($C34, 'BR RoomType'!$A:$B, 2, 0)</f>
        <v>Bella Deluxe</v>
      </c>
      <c r="G34">
        <v>60</v>
      </c>
      <c r="H34">
        <v>60</v>
      </c>
      <c r="I34">
        <v>60</v>
      </c>
      <c r="J34">
        <v>60</v>
      </c>
      <c r="K34">
        <v>0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25">
      <c r="A35" t="s">
        <v>1</v>
      </c>
      <c r="B35" t="s">
        <v>1787</v>
      </c>
      <c r="C35" t="s">
        <v>20</v>
      </c>
      <c r="D35"/>
      <c r="E35">
        <f t="shared" si="37"/>
        <v>0</v>
      </c>
      <c r="F35" t="str">
        <f>VLOOKUP($C35, 'BR RoomType'!$A:$B, 2, 0)</f>
        <v>Royale Deluxe</v>
      </c>
      <c r="G35">
        <v>20</v>
      </c>
      <c r="H35">
        <v>20</v>
      </c>
      <c r="I35">
        <v>20</v>
      </c>
      <c r="J35">
        <v>20</v>
      </c>
      <c r="K35">
        <v>0</v>
      </c>
      <c r="L35"/>
      <c r="M35"/>
      <c r="N35"/>
      <c r="O35"/>
      <c r="P35"/>
      <c r="Q35"/>
      <c r="R35"/>
      <c r="S35"/>
      <c r="T35"/>
      <c r="U35"/>
    </row>
    <row r="36" spans="1:55" x14ac:dyDescent="0.25">
      <c r="A36"/>
      <c r="B36" t="e">
        <v>#N/A</v>
      </c>
      <c r="C36"/>
      <c r="D36"/>
      <c r="E36">
        <f t="shared" si="37"/>
        <v>0</v>
      </c>
      <c r="F36" t="e">
        <f>VLOOKUP($C36, 'BR RoomType'!$A:$B, 2, 0)</f>
        <v>#N/A</v>
      </c>
      <c r="G36"/>
      <c r="H36">
        <v>0</v>
      </c>
      <c r="I36">
        <v>0</v>
      </c>
      <c r="J36">
        <v>0</v>
      </c>
      <c r="K36">
        <v>0</v>
      </c>
      <c r="L36"/>
      <c r="M36"/>
      <c r="N36"/>
      <c r="O36"/>
      <c r="P36"/>
      <c r="Q36"/>
      <c r="R36"/>
      <c r="S36"/>
      <c r="T36"/>
      <c r="U36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RButton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0</xdr:col>
                    <xdr:colOff>1238250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ConvertRoomBL">
                <anchor moveWithCells="1" sizeWithCells="1">
                  <from>
                    <xdr:col>3</xdr:col>
                    <xdr:colOff>104775</xdr:colOff>
                    <xdr:row>0</xdr:row>
                    <xdr:rowOff>133350</xdr:rowOff>
                  </from>
                  <to>
                    <xdr:col>4</xdr:col>
                    <xdr:colOff>533400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ClearButtonBKInfo">
                <anchor moveWithCells="1" sizeWithCells="1">
                  <from>
                    <xdr:col>5</xdr:col>
                    <xdr:colOff>104775</xdr:colOff>
                    <xdr:row>0</xdr:row>
                    <xdr:rowOff>133350</xdr:rowOff>
                  </from>
                  <to>
                    <xdr:col>6</xdr:col>
                    <xdr:colOff>533400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8"/>
  <sheetViews>
    <sheetView workbookViewId="0">
      <selection activeCell="E18" sqref="E18"/>
    </sheetView>
  </sheetViews>
  <sheetFormatPr defaultRowHeight="15" x14ac:dyDescent="0.25"/>
  <cols>
    <col min="1" max="1" width="32.28515625" customWidth="1"/>
    <col min="2" max="2" width="16.7109375" bestFit="1" customWidth="1"/>
    <col min="5" max="5" width="30.5703125" bestFit="1" customWidth="1"/>
    <col min="6" max="6" width="21.42578125" bestFit="1" customWidth="1"/>
    <col min="9" max="9" width="36" bestFit="1" customWidth="1"/>
    <col min="10" max="10" width="22.28515625" bestFit="1" customWidth="1"/>
    <col min="13" max="13" width="30.5703125" bestFit="1" customWidth="1"/>
    <col min="14" max="14" width="38.5703125" bestFit="1" customWidth="1"/>
  </cols>
  <sheetData>
    <row r="1" spans="1:3" x14ac:dyDescent="0.25">
      <c r="A1" t="s">
        <v>1805</v>
      </c>
      <c r="B1" t="s">
        <v>1804</v>
      </c>
    </row>
    <row r="2" spans="1:3" x14ac:dyDescent="0.25">
      <c r="A2" s="204" t="s">
        <v>20</v>
      </c>
      <c r="B2" s="199" t="s">
        <v>1787</v>
      </c>
      <c r="C2" t="s">
        <v>125</v>
      </c>
    </row>
    <row r="3" spans="1:3" x14ac:dyDescent="0.25">
      <c r="A3" s="204" t="s">
        <v>22</v>
      </c>
      <c r="B3" s="200" t="s">
        <v>1788</v>
      </c>
      <c r="C3" t="s">
        <v>125</v>
      </c>
    </row>
    <row r="4" spans="1:3" x14ac:dyDescent="0.25">
      <c r="A4" s="204" t="s">
        <v>28</v>
      </c>
      <c r="B4" s="200" t="s">
        <v>1789</v>
      </c>
      <c r="C4" t="s">
        <v>125</v>
      </c>
    </row>
    <row r="5" spans="1:3" x14ac:dyDescent="0.25">
      <c r="A5" s="204" t="s">
        <v>30</v>
      </c>
      <c r="B5" s="201" t="s">
        <v>1790</v>
      </c>
      <c r="C5" t="s">
        <v>125</v>
      </c>
    </row>
    <row r="6" spans="1:3" x14ac:dyDescent="0.25">
      <c r="A6" s="204" t="s">
        <v>21</v>
      </c>
      <c r="B6" s="202" t="s">
        <v>1791</v>
      </c>
      <c r="C6" t="s">
        <v>125</v>
      </c>
    </row>
    <row r="7" spans="1:3" x14ac:dyDescent="0.25">
      <c r="A7" s="204" t="s">
        <v>23</v>
      </c>
      <c r="B7" s="202" t="s">
        <v>1792</v>
      </c>
      <c r="C7" t="s">
        <v>125</v>
      </c>
    </row>
    <row r="8" spans="1:3" x14ac:dyDescent="0.25">
      <c r="A8" s="204" t="s">
        <v>24</v>
      </c>
      <c r="B8" s="201" t="s">
        <v>1793</v>
      </c>
      <c r="C8" t="s">
        <v>125</v>
      </c>
    </row>
    <row r="9" spans="1:3" x14ac:dyDescent="0.25">
      <c r="A9" s="204" t="s">
        <v>25</v>
      </c>
      <c r="B9" s="201" t="s">
        <v>1794</v>
      </c>
      <c r="C9" t="s">
        <v>125</v>
      </c>
    </row>
    <row r="10" spans="1:3" x14ac:dyDescent="0.25">
      <c r="A10" s="22" t="s">
        <v>26</v>
      </c>
      <c r="B10" s="208" t="s">
        <v>1787</v>
      </c>
      <c r="C10" t="s">
        <v>125</v>
      </c>
    </row>
    <row r="11" spans="1:3" x14ac:dyDescent="0.25">
      <c r="A11" s="22" t="s">
        <v>27</v>
      </c>
      <c r="B11" s="208" t="s">
        <v>1787</v>
      </c>
      <c r="C11" t="s">
        <v>125</v>
      </c>
    </row>
    <row r="12" spans="1:3" x14ac:dyDescent="0.25">
      <c r="A12" s="22" t="s">
        <v>29</v>
      </c>
      <c r="B12" s="208" t="s">
        <v>1787</v>
      </c>
      <c r="C12" t="s">
        <v>125</v>
      </c>
    </row>
    <row r="13" spans="1:3" x14ac:dyDescent="0.25">
      <c r="A13" s="22" t="s">
        <v>32</v>
      </c>
      <c r="B13" s="208" t="s">
        <v>1787</v>
      </c>
      <c r="C13" t="s">
        <v>125</v>
      </c>
    </row>
    <row r="14" spans="1:3" x14ac:dyDescent="0.25">
      <c r="A14" s="22" t="s">
        <v>34</v>
      </c>
      <c r="B14" s="208" t="s">
        <v>1787</v>
      </c>
      <c r="C14" t="s">
        <v>125</v>
      </c>
    </row>
    <row r="15" spans="1:3" x14ac:dyDescent="0.25">
      <c r="A15" s="22" t="s">
        <v>35</v>
      </c>
      <c r="B15" s="208" t="s">
        <v>1787</v>
      </c>
      <c r="C15" t="s">
        <v>125</v>
      </c>
    </row>
    <row r="16" spans="1:3" x14ac:dyDescent="0.25">
      <c r="A16" s="22" t="s">
        <v>36</v>
      </c>
      <c r="B16" s="208" t="s">
        <v>1787</v>
      </c>
      <c r="C16" t="s">
        <v>125</v>
      </c>
    </row>
    <row r="17" spans="1:3" x14ac:dyDescent="0.25">
      <c r="A17" s="22" t="s">
        <v>37</v>
      </c>
      <c r="B17" s="208" t="s">
        <v>1787</v>
      </c>
      <c r="C17" t="s">
        <v>125</v>
      </c>
    </row>
    <row r="18" spans="1:3" x14ac:dyDescent="0.25">
      <c r="A18" s="22" t="s">
        <v>31</v>
      </c>
      <c r="B18" s="208" t="s">
        <v>1787</v>
      </c>
      <c r="C18" t="s">
        <v>125</v>
      </c>
    </row>
    <row r="19" spans="1:3" x14ac:dyDescent="0.25">
      <c r="A19" s="22" t="s">
        <v>33</v>
      </c>
      <c r="B19" s="208" t="s">
        <v>1787</v>
      </c>
      <c r="C19" t="s">
        <v>125</v>
      </c>
    </row>
    <row r="20" spans="1:3" x14ac:dyDescent="0.25">
      <c r="A20" s="204" t="s">
        <v>53</v>
      </c>
      <c r="B20" s="199" t="s">
        <v>53</v>
      </c>
      <c r="C20" t="s">
        <v>126</v>
      </c>
    </row>
    <row r="21" spans="1:3" x14ac:dyDescent="0.25">
      <c r="A21" s="204" t="s">
        <v>55</v>
      </c>
      <c r="B21" s="199" t="s">
        <v>55</v>
      </c>
      <c r="C21" t="s">
        <v>126</v>
      </c>
    </row>
    <row r="22" spans="1:3" x14ac:dyDescent="0.25">
      <c r="A22" s="204" t="s">
        <v>57</v>
      </c>
      <c r="B22" s="199" t="s">
        <v>57</v>
      </c>
      <c r="C22" t="s">
        <v>126</v>
      </c>
    </row>
    <row r="23" spans="1:3" x14ac:dyDescent="0.25">
      <c r="A23" s="204" t="s">
        <v>59</v>
      </c>
      <c r="B23" s="199" t="s">
        <v>59</v>
      </c>
      <c r="C23" t="s">
        <v>126</v>
      </c>
    </row>
    <row r="24" spans="1:3" x14ac:dyDescent="0.25">
      <c r="A24" s="204" t="s">
        <v>61</v>
      </c>
      <c r="B24" s="201" t="s">
        <v>61</v>
      </c>
      <c r="C24" t="s">
        <v>126</v>
      </c>
    </row>
    <row r="25" spans="1:3" x14ac:dyDescent="0.25">
      <c r="A25" s="204" t="s">
        <v>63</v>
      </c>
      <c r="B25" s="201" t="s">
        <v>63</v>
      </c>
      <c r="C25" t="s">
        <v>126</v>
      </c>
    </row>
    <row r="26" spans="1:3" x14ac:dyDescent="0.25">
      <c r="A26" s="204" t="s">
        <v>65</v>
      </c>
      <c r="B26" s="201" t="s">
        <v>65</v>
      </c>
      <c r="C26" t="s">
        <v>126</v>
      </c>
    </row>
    <row r="27" spans="1:3" x14ac:dyDescent="0.25">
      <c r="A27" s="204" t="s">
        <v>66</v>
      </c>
      <c r="B27" s="201" t="s">
        <v>66</v>
      </c>
      <c r="C27" t="s">
        <v>126</v>
      </c>
    </row>
    <row r="28" spans="1:3" x14ac:dyDescent="0.25">
      <c r="A28" s="204" t="s">
        <v>54</v>
      </c>
      <c r="B28" s="202" t="s">
        <v>1795</v>
      </c>
      <c r="C28" t="s">
        <v>126</v>
      </c>
    </row>
    <row r="29" spans="1:3" x14ac:dyDescent="0.25">
      <c r="A29" s="204" t="s">
        <v>56</v>
      </c>
      <c r="B29" s="202" t="s">
        <v>1796</v>
      </c>
      <c r="C29" t="s">
        <v>126</v>
      </c>
    </row>
    <row r="30" spans="1:3" x14ac:dyDescent="0.25">
      <c r="A30" s="22" t="s">
        <v>58</v>
      </c>
      <c r="B30" s="199" t="s">
        <v>57</v>
      </c>
      <c r="C30" t="s">
        <v>126</v>
      </c>
    </row>
    <row r="31" spans="1:3" x14ac:dyDescent="0.25">
      <c r="A31" s="22" t="s">
        <v>60</v>
      </c>
      <c r="B31" s="199" t="s">
        <v>59</v>
      </c>
      <c r="C31" t="s">
        <v>126</v>
      </c>
    </row>
    <row r="32" spans="1:3" x14ac:dyDescent="0.25">
      <c r="A32" s="22" t="s">
        <v>62</v>
      </c>
      <c r="B32" s="201" t="s">
        <v>61</v>
      </c>
      <c r="C32" t="s">
        <v>126</v>
      </c>
    </row>
    <row r="33" spans="1:3" x14ac:dyDescent="0.25">
      <c r="A33" s="22" t="s">
        <v>64</v>
      </c>
      <c r="B33" s="208" t="s">
        <v>53</v>
      </c>
      <c r="C33" t="s">
        <v>126</v>
      </c>
    </row>
    <row r="34" spans="1:3" x14ac:dyDescent="0.25">
      <c r="A34" s="22" t="s">
        <v>67</v>
      </c>
      <c r="B34" s="208" t="s">
        <v>53</v>
      </c>
      <c r="C34" t="s">
        <v>126</v>
      </c>
    </row>
    <row r="35" spans="1:3" x14ac:dyDescent="0.25">
      <c r="A35" s="22" t="s">
        <v>68</v>
      </c>
      <c r="B35" s="208" t="s">
        <v>53</v>
      </c>
      <c r="C35" t="s">
        <v>126</v>
      </c>
    </row>
    <row r="36" spans="1:3" x14ac:dyDescent="0.25">
      <c r="A36" s="204" t="s">
        <v>69</v>
      </c>
      <c r="B36" s="199" t="s">
        <v>69</v>
      </c>
      <c r="C36" t="s">
        <v>127</v>
      </c>
    </row>
    <row r="37" spans="1:3" x14ac:dyDescent="0.25">
      <c r="A37" s="204" t="s">
        <v>71</v>
      </c>
      <c r="B37" s="199" t="s">
        <v>71</v>
      </c>
      <c r="C37" t="s">
        <v>127</v>
      </c>
    </row>
    <row r="38" spans="1:3" x14ac:dyDescent="0.25">
      <c r="A38" s="204" t="s">
        <v>53</v>
      </c>
      <c r="B38" s="200" t="s">
        <v>53</v>
      </c>
      <c r="C38" t="s">
        <v>127</v>
      </c>
    </row>
    <row r="39" spans="1:3" x14ac:dyDescent="0.25">
      <c r="A39" s="204" t="s">
        <v>74</v>
      </c>
      <c r="B39" s="201" t="s">
        <v>74</v>
      </c>
      <c r="C39" t="s">
        <v>127</v>
      </c>
    </row>
    <row r="40" spans="1:3" x14ac:dyDescent="0.25">
      <c r="A40" s="204" t="s">
        <v>76</v>
      </c>
      <c r="B40" s="201" t="s">
        <v>76</v>
      </c>
      <c r="C40" t="s">
        <v>127</v>
      </c>
    </row>
    <row r="41" spans="1:3" x14ac:dyDescent="0.25">
      <c r="A41" s="204" t="s">
        <v>78</v>
      </c>
      <c r="B41" s="201" t="s">
        <v>78</v>
      </c>
      <c r="C41" t="s">
        <v>127</v>
      </c>
    </row>
    <row r="42" spans="1:3" x14ac:dyDescent="0.25">
      <c r="A42" s="204" t="s">
        <v>59</v>
      </c>
      <c r="B42" s="201" t="s">
        <v>59</v>
      </c>
      <c r="C42" t="s">
        <v>127</v>
      </c>
    </row>
    <row r="43" spans="1:3" x14ac:dyDescent="0.25">
      <c r="A43" s="204" t="s">
        <v>63</v>
      </c>
      <c r="B43" s="201" t="s">
        <v>63</v>
      </c>
      <c r="C43" t="s">
        <v>127</v>
      </c>
    </row>
    <row r="44" spans="1:3" x14ac:dyDescent="0.25">
      <c r="A44" s="204" t="s">
        <v>82</v>
      </c>
      <c r="B44" s="201" t="s">
        <v>65</v>
      </c>
      <c r="C44" t="s">
        <v>127</v>
      </c>
    </row>
    <row r="45" spans="1:3" x14ac:dyDescent="0.25">
      <c r="A45" s="204" t="s">
        <v>83</v>
      </c>
      <c r="B45" s="201" t="s">
        <v>66</v>
      </c>
      <c r="C45" t="s">
        <v>127</v>
      </c>
    </row>
    <row r="46" spans="1:3" x14ac:dyDescent="0.25">
      <c r="A46" s="204" t="s">
        <v>70</v>
      </c>
      <c r="B46" s="199" t="s">
        <v>69</v>
      </c>
      <c r="C46" t="s">
        <v>127</v>
      </c>
    </row>
    <row r="47" spans="1:3" x14ac:dyDescent="0.25">
      <c r="A47" s="204" t="s">
        <v>72</v>
      </c>
      <c r="B47" s="199" t="s">
        <v>71</v>
      </c>
      <c r="C47" t="s">
        <v>127</v>
      </c>
    </row>
    <row r="48" spans="1:3" x14ac:dyDescent="0.25">
      <c r="A48" s="204" t="s">
        <v>73</v>
      </c>
      <c r="B48" s="200" t="s">
        <v>53</v>
      </c>
      <c r="C48" t="s">
        <v>127</v>
      </c>
    </row>
    <row r="49" spans="1:3" x14ac:dyDescent="0.25">
      <c r="A49" s="204" t="s">
        <v>75</v>
      </c>
      <c r="B49" s="201" t="s">
        <v>74</v>
      </c>
      <c r="C49" t="s">
        <v>127</v>
      </c>
    </row>
    <row r="50" spans="1:3" x14ac:dyDescent="0.25">
      <c r="A50" s="204" t="s">
        <v>77</v>
      </c>
      <c r="B50" s="201" t="s">
        <v>76</v>
      </c>
      <c r="C50" t="s">
        <v>127</v>
      </c>
    </row>
    <row r="51" spans="1:3" x14ac:dyDescent="0.25">
      <c r="A51" s="204" t="s">
        <v>79</v>
      </c>
      <c r="B51" s="201" t="s">
        <v>78</v>
      </c>
      <c r="C51" t="s">
        <v>127</v>
      </c>
    </row>
    <row r="52" spans="1:3" x14ac:dyDescent="0.25">
      <c r="A52" s="204" t="s">
        <v>80</v>
      </c>
      <c r="B52" s="201" t="s">
        <v>59</v>
      </c>
      <c r="C52" t="s">
        <v>127</v>
      </c>
    </row>
    <row r="53" spans="1:3" x14ac:dyDescent="0.25">
      <c r="A53" s="204" t="s">
        <v>81</v>
      </c>
      <c r="B53" s="201" t="s">
        <v>59</v>
      </c>
      <c r="C53" t="s">
        <v>127</v>
      </c>
    </row>
    <row r="54" spans="1:3" x14ac:dyDescent="0.25">
      <c r="A54" s="204" t="s">
        <v>38</v>
      </c>
      <c r="B54" s="203" t="s">
        <v>38</v>
      </c>
      <c r="C54" t="s">
        <v>128</v>
      </c>
    </row>
    <row r="55" spans="1:3" x14ac:dyDescent="0.25">
      <c r="A55" s="204" t="s">
        <v>39</v>
      </c>
      <c r="B55" s="203" t="s">
        <v>39</v>
      </c>
      <c r="C55" t="s">
        <v>128</v>
      </c>
    </row>
    <row r="56" spans="1:3" x14ac:dyDescent="0.25">
      <c r="A56" s="204" t="s">
        <v>40</v>
      </c>
      <c r="B56" s="199" t="s">
        <v>40</v>
      </c>
      <c r="C56" t="s">
        <v>128</v>
      </c>
    </row>
    <row r="57" spans="1:3" x14ac:dyDescent="0.25">
      <c r="A57" s="204" t="s">
        <v>41</v>
      </c>
      <c r="B57" s="200" t="s">
        <v>41</v>
      </c>
      <c r="C57" t="s">
        <v>128</v>
      </c>
    </row>
    <row r="58" spans="1:3" x14ac:dyDescent="0.25">
      <c r="A58" s="204" t="s">
        <v>42</v>
      </c>
      <c r="B58" s="203" t="s">
        <v>42</v>
      </c>
      <c r="C58" t="s">
        <v>128</v>
      </c>
    </row>
    <row r="59" spans="1:3" x14ac:dyDescent="0.25">
      <c r="A59" s="204" t="s">
        <v>43</v>
      </c>
      <c r="B59" s="203" t="s">
        <v>1797</v>
      </c>
      <c r="C59" t="s">
        <v>128</v>
      </c>
    </row>
    <row r="60" spans="1:3" x14ac:dyDescent="0.25">
      <c r="A60" s="204" t="s">
        <v>44</v>
      </c>
      <c r="B60" s="199" t="s">
        <v>44</v>
      </c>
      <c r="C60" t="s">
        <v>128</v>
      </c>
    </row>
    <row r="61" spans="1:3" x14ac:dyDescent="0.25">
      <c r="A61" s="204" t="s">
        <v>46</v>
      </c>
      <c r="B61" s="199" t="s">
        <v>46</v>
      </c>
      <c r="C61" t="s">
        <v>128</v>
      </c>
    </row>
    <row r="62" spans="1:3" x14ac:dyDescent="0.25">
      <c r="A62" s="204" t="s">
        <v>45</v>
      </c>
      <c r="B62" s="199" t="s">
        <v>1798</v>
      </c>
      <c r="C62" t="s">
        <v>128</v>
      </c>
    </row>
    <row r="63" spans="1:3" x14ac:dyDescent="0.25">
      <c r="A63" s="204" t="s">
        <v>47</v>
      </c>
      <c r="B63" s="199" t="s">
        <v>1799</v>
      </c>
      <c r="C63" t="s">
        <v>128</v>
      </c>
    </row>
    <row r="64" spans="1:3" x14ac:dyDescent="0.25">
      <c r="A64" s="22" t="s">
        <v>48</v>
      </c>
      <c r="B64" s="209" t="s">
        <v>38</v>
      </c>
      <c r="C64" t="s">
        <v>128</v>
      </c>
    </row>
    <row r="65" spans="1:3" x14ac:dyDescent="0.25">
      <c r="A65" s="22" t="s">
        <v>49</v>
      </c>
      <c r="B65" s="209" t="s">
        <v>38</v>
      </c>
      <c r="C65" t="s">
        <v>128</v>
      </c>
    </row>
    <row r="66" spans="1:3" x14ac:dyDescent="0.25">
      <c r="A66" s="22" t="s">
        <v>50</v>
      </c>
      <c r="B66" s="209" t="s">
        <v>38</v>
      </c>
      <c r="C66" t="s">
        <v>128</v>
      </c>
    </row>
    <row r="67" spans="1:3" x14ac:dyDescent="0.25">
      <c r="A67" s="22" t="s">
        <v>51</v>
      </c>
      <c r="B67" s="209" t="s">
        <v>38</v>
      </c>
      <c r="C67" t="s">
        <v>128</v>
      </c>
    </row>
    <row r="68" spans="1:3" x14ac:dyDescent="0.25">
      <c r="A68" s="22" t="s">
        <v>52</v>
      </c>
      <c r="B68" s="209" t="s">
        <v>38</v>
      </c>
      <c r="C68" t="s">
        <v>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B1:U44"/>
  <sheetViews>
    <sheetView workbookViewId="0">
      <selection activeCell="A4" sqref="A4"/>
    </sheetView>
  </sheetViews>
  <sheetFormatPr defaultRowHeight="15" x14ac:dyDescent="0.25"/>
  <sheetData>
    <row r="1" spans="2:21" ht="15.75" customHeight="1" x14ac:dyDescent="0.25">
      <c r="B1" s="231" t="s">
        <v>1803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</row>
    <row r="10" spans="2:21" ht="15.75" customHeight="1" x14ac:dyDescent="0.25"/>
    <row r="16" spans="2:21" ht="15.75" customHeight="1" x14ac:dyDescent="0.25"/>
    <row r="43" ht="22.5" customHeight="1" x14ac:dyDescent="0.25"/>
    <row r="44" ht="22.5" customHeight="1" x14ac:dyDescent="0.25"/>
  </sheetData>
  <mergeCells count="1">
    <mergeCell ref="B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AM370"/>
  <sheetViews>
    <sheetView workbookViewId="0">
      <pane ySplit="1" topLeftCell="A2" activePane="bottomLeft" state="frozen"/>
      <selection pane="bottomLeft" activeCell="K9" sqref="K9"/>
    </sheetView>
  </sheetViews>
  <sheetFormatPr defaultRowHeight="15" outlineLevelCol="1" x14ac:dyDescent="0.25"/>
  <cols>
    <col min="8" max="8" width="4.42578125" bestFit="1" customWidth="1"/>
    <col min="16" max="16" width="11.28515625" style="149" bestFit="1" customWidth="1"/>
    <col min="17" max="17" width="12.85546875" style="149" customWidth="1"/>
    <col min="18" max="25" width="9.140625" hidden="1" customWidth="1" outlineLevel="1"/>
    <col min="26" max="27" width="9.140625" style="150" hidden="1" customWidth="1" outlineLevel="1"/>
    <col min="28" max="31" width="9.140625" hidden="1" customWidth="1" outlineLevel="1"/>
    <col min="32" max="33" width="9.140625" style="161" collapsed="1"/>
    <col min="34" max="39" width="9.140625" style="161"/>
  </cols>
  <sheetData>
    <row r="1" spans="1:35" s="152" customFormat="1" ht="45.75" thickBot="1" x14ac:dyDescent="0.3">
      <c r="A1" s="210" t="s">
        <v>6</v>
      </c>
      <c r="B1" s="211" t="s">
        <v>151</v>
      </c>
      <c r="C1" s="211" t="s">
        <v>152</v>
      </c>
      <c r="D1" s="211" t="s">
        <v>153</v>
      </c>
      <c r="E1" s="211" t="s">
        <v>154</v>
      </c>
      <c r="F1" s="211" t="s">
        <v>2</v>
      </c>
      <c r="G1" s="211" t="s">
        <v>209</v>
      </c>
      <c r="H1" s="212" t="s">
        <v>155</v>
      </c>
      <c r="I1" s="211" t="s">
        <v>156</v>
      </c>
      <c r="J1" s="211" t="s">
        <v>1753</v>
      </c>
      <c r="K1" s="211" t="s">
        <v>1754</v>
      </c>
      <c r="L1" s="211" t="s">
        <v>1755</v>
      </c>
      <c r="M1" s="211" t="s">
        <v>1756</v>
      </c>
      <c r="N1" s="211" t="s">
        <v>1757</v>
      </c>
      <c r="O1" s="211" t="s">
        <v>1758</v>
      </c>
      <c r="P1" s="157" t="s">
        <v>1762</v>
      </c>
      <c r="Q1" s="157" t="s">
        <v>1763</v>
      </c>
      <c r="R1" s="152" t="s">
        <v>104</v>
      </c>
      <c r="T1" s="152" t="s">
        <v>1766</v>
      </c>
      <c r="U1" s="153" t="s">
        <v>1767</v>
      </c>
      <c r="V1" s="152" t="s">
        <v>1759</v>
      </c>
      <c r="W1" s="152" t="s">
        <v>1761</v>
      </c>
      <c r="X1" s="152" t="s">
        <v>1760</v>
      </c>
      <c r="Y1" s="152" t="s">
        <v>99</v>
      </c>
      <c r="Z1" s="154" t="s">
        <v>1764</v>
      </c>
      <c r="AA1" s="154" t="s">
        <v>138</v>
      </c>
      <c r="AB1" s="153" t="s">
        <v>120</v>
      </c>
      <c r="AC1" s="152" t="s">
        <v>1765</v>
      </c>
      <c r="AD1" s="152" t="s">
        <v>1783</v>
      </c>
      <c r="AE1" s="152" t="s">
        <v>1784</v>
      </c>
      <c r="AF1" s="156"/>
      <c r="AG1" s="156"/>
      <c r="AH1" s="155"/>
      <c r="AI1" s="155"/>
    </row>
    <row r="2" spans="1:35" ht="15.75" thickBot="1" x14ac:dyDescent="0.3">
      <c r="A2" s="227"/>
      <c r="B2" s="228"/>
      <c r="C2" s="228"/>
      <c r="D2" s="229"/>
      <c r="E2" s="229"/>
      <c r="F2" s="229"/>
      <c r="G2" s="229"/>
      <c r="H2" s="230"/>
      <c r="I2" s="229"/>
      <c r="J2" s="191"/>
      <c r="K2" s="191"/>
      <c r="L2" s="191"/>
      <c r="M2" s="191"/>
      <c r="N2" s="190"/>
      <c r="O2" s="190"/>
      <c r="P2" s="213" t="str">
        <f>Z2</f>
        <v>No</v>
      </c>
      <c r="Q2" s="148" t="str">
        <f>AA2</f>
        <v>No</v>
      </c>
      <c r="R2" t="e">
        <f>VLOOKUP(F2, Property!A:B, 2,0)</f>
        <v>#N/A</v>
      </c>
      <c r="T2">
        <f>SUM(M2:O2)</f>
        <v>0</v>
      </c>
      <c r="U2">
        <f>SUM(J2:L2)</f>
        <v>0</v>
      </c>
      <c r="V2">
        <f>IF(AND(J2&gt;0, AC2=0), 1, 0)</f>
        <v>0</v>
      </c>
      <c r="W2">
        <f>IF(AND(K2&gt;0, AC2=0), 1, 0)</f>
        <v>0</v>
      </c>
      <c r="X2">
        <f>IF(L2&gt;0, 1, 0)</f>
        <v>0</v>
      </c>
      <c r="Y2">
        <f>SUM(V2:X2)</f>
        <v>0</v>
      </c>
      <c r="Z2" s="150" t="str">
        <f>IF(AND(Y2&gt;0, AB2=0), "Yes", "No")</f>
        <v>No</v>
      </c>
      <c r="AA2" s="150" t="str">
        <f>IF(AND(G2&gt;0, AB2=0), "Yes", "No")</f>
        <v>No</v>
      </c>
      <c r="AB2">
        <f>IF(ISNUMBER(SEARCH("Package",D2)), 1,0)</f>
        <v>0</v>
      </c>
      <c r="AC2">
        <f>IF(ISNUMBER(SEARCH("Breakfast",D2)), 1,0)</f>
        <v>0</v>
      </c>
      <c r="AD2" t="str">
        <f>IF(AND(P2="Yes", Z2="No"), "Yes", "No")</f>
        <v>No</v>
      </c>
      <c r="AE2" t="str">
        <f>IF(AND(Q2="Yes", AA2="No"), "Yes", "No")</f>
        <v>No</v>
      </c>
    </row>
    <row r="3" spans="1:35" ht="15.75" thickBot="1" x14ac:dyDescent="0.3">
      <c r="A3" s="227"/>
      <c r="B3" s="228"/>
      <c r="C3" s="228"/>
      <c r="D3" s="229"/>
      <c r="E3" s="229"/>
      <c r="F3" s="229"/>
      <c r="G3" s="229"/>
      <c r="H3" s="230"/>
      <c r="I3" s="229"/>
      <c r="J3" s="147"/>
      <c r="K3" s="147"/>
      <c r="L3" s="147"/>
      <c r="M3" s="147"/>
      <c r="N3" s="146"/>
      <c r="O3" s="146"/>
      <c r="P3" s="213" t="str">
        <f t="shared" ref="P3:P66" si="0">Z3</f>
        <v>No</v>
      </c>
      <c r="Q3" s="148" t="str">
        <f t="shared" ref="Q3:Q66" si="1">AA3</f>
        <v>No</v>
      </c>
      <c r="R3" t="e">
        <f>VLOOKUP(F3, Property!A:B, 2,0)</f>
        <v>#N/A</v>
      </c>
      <c r="T3">
        <f t="shared" ref="T3:T66" si="2">SUM(M3:O3)</f>
        <v>0</v>
      </c>
      <c r="U3">
        <f t="shared" ref="U3:U66" si="3">SUM(J3:L3)</f>
        <v>0</v>
      </c>
      <c r="V3">
        <f t="shared" ref="V3:V66" si="4">IF(AND(J3&gt;0, AC3=0), 1, 0)</f>
        <v>0</v>
      </c>
      <c r="W3">
        <f t="shared" ref="W3:W66" si="5">IF(AND(K3&gt;0, AC3=0), 1, 0)</f>
        <v>0</v>
      </c>
      <c r="X3">
        <f t="shared" ref="X3:X66" si="6">IF(L3&gt;0, 1, 0)</f>
        <v>0</v>
      </c>
      <c r="Y3">
        <f t="shared" ref="Y3:Y66" si="7">SUM(V3:X3)</f>
        <v>0</v>
      </c>
      <c r="Z3" s="150" t="str">
        <f t="shared" ref="Z3:Z66" si="8">IF(AND(Y3&gt;0, AB3=0), "Yes", "No")</f>
        <v>No</v>
      </c>
      <c r="AA3" s="150" t="str">
        <f t="shared" ref="AA3:AA66" si="9">IF(AND(G3&gt;0, AB3=0), "Yes", "No")</f>
        <v>No</v>
      </c>
      <c r="AB3">
        <f t="shared" ref="AB3:AB66" si="10">IF(ISNUMBER(SEARCH("Package",D3)), 1,0)</f>
        <v>0</v>
      </c>
      <c r="AC3">
        <f t="shared" ref="AC3:AC66" si="11">IF(ISNUMBER(SEARCH("Breakfast",D3)), 1,0)</f>
        <v>0</v>
      </c>
      <c r="AD3" t="str">
        <f t="shared" ref="AD3:AD66" si="12">IF(AND(P3="Yes", Z3="No"), "Yes", "No")</f>
        <v>No</v>
      </c>
      <c r="AE3" t="str">
        <f t="shared" ref="AE3:AE66" si="13">IF(AND(Q3="Yes", AA3="No"), "Yes", "No")</f>
        <v>No</v>
      </c>
    </row>
    <row r="4" spans="1:35" ht="15.75" thickBot="1" x14ac:dyDescent="0.3">
      <c r="A4" s="227"/>
      <c r="B4" s="228"/>
      <c r="C4" s="228"/>
      <c r="D4" s="229"/>
      <c r="E4" s="229"/>
      <c r="F4" s="229"/>
      <c r="G4" s="229"/>
      <c r="H4" s="230"/>
      <c r="I4" s="229"/>
      <c r="J4" s="147"/>
      <c r="K4" s="147"/>
      <c r="L4" s="147"/>
      <c r="M4" s="146"/>
      <c r="N4" s="146"/>
      <c r="O4" s="146"/>
      <c r="P4" s="213" t="str">
        <f t="shared" si="0"/>
        <v>No</v>
      </c>
      <c r="Q4" s="148" t="str">
        <f t="shared" si="1"/>
        <v>No</v>
      </c>
      <c r="R4" t="e">
        <f>VLOOKUP(F4, Property!A:B, 2,0)</f>
        <v>#N/A</v>
      </c>
      <c r="T4">
        <f t="shared" si="2"/>
        <v>0</v>
      </c>
      <c r="U4">
        <f t="shared" si="3"/>
        <v>0</v>
      </c>
      <c r="V4">
        <f t="shared" si="4"/>
        <v>0</v>
      </c>
      <c r="W4">
        <f t="shared" si="5"/>
        <v>0</v>
      </c>
      <c r="X4">
        <f t="shared" si="6"/>
        <v>0</v>
      </c>
      <c r="Y4">
        <f t="shared" si="7"/>
        <v>0</v>
      </c>
      <c r="Z4" s="150" t="str">
        <f t="shared" si="8"/>
        <v>No</v>
      </c>
      <c r="AA4" s="150" t="str">
        <f t="shared" si="9"/>
        <v>No</v>
      </c>
      <c r="AB4">
        <f t="shared" si="10"/>
        <v>0</v>
      </c>
      <c r="AC4">
        <f t="shared" si="11"/>
        <v>0</v>
      </c>
      <c r="AD4" t="str">
        <f t="shared" si="12"/>
        <v>No</v>
      </c>
      <c r="AE4" t="str">
        <f t="shared" si="13"/>
        <v>No</v>
      </c>
    </row>
    <row r="5" spans="1:35" ht="15.75" thickBot="1" x14ac:dyDescent="0.3">
      <c r="A5" s="227"/>
      <c r="B5" s="228"/>
      <c r="C5" s="228"/>
      <c r="D5" s="229"/>
      <c r="E5" s="229"/>
      <c r="F5" s="229"/>
      <c r="G5" s="229"/>
      <c r="H5" s="230"/>
      <c r="I5" s="229"/>
      <c r="J5" s="147"/>
      <c r="K5" s="147"/>
      <c r="L5" s="147"/>
      <c r="M5" s="147"/>
      <c r="N5" s="146"/>
      <c r="O5" s="146"/>
      <c r="P5" s="213" t="str">
        <f t="shared" si="0"/>
        <v>No</v>
      </c>
      <c r="Q5" s="148" t="str">
        <f t="shared" si="1"/>
        <v>No</v>
      </c>
      <c r="R5" t="e">
        <f>VLOOKUP(F5, Property!A:B, 2,0)</f>
        <v>#N/A</v>
      </c>
      <c r="T5">
        <f t="shared" si="2"/>
        <v>0</v>
      </c>
      <c r="U5">
        <f t="shared" si="3"/>
        <v>0</v>
      </c>
      <c r="V5">
        <f t="shared" si="4"/>
        <v>0</v>
      </c>
      <c r="W5">
        <f t="shared" si="5"/>
        <v>0</v>
      </c>
      <c r="X5">
        <f t="shared" si="6"/>
        <v>0</v>
      </c>
      <c r="Y5">
        <f t="shared" si="7"/>
        <v>0</v>
      </c>
      <c r="Z5" s="150" t="str">
        <f t="shared" si="8"/>
        <v>No</v>
      </c>
      <c r="AA5" s="150" t="str">
        <f t="shared" si="9"/>
        <v>No</v>
      </c>
      <c r="AB5">
        <f t="shared" si="10"/>
        <v>0</v>
      </c>
      <c r="AC5">
        <f t="shared" si="11"/>
        <v>0</v>
      </c>
      <c r="AD5" t="str">
        <f t="shared" si="12"/>
        <v>No</v>
      </c>
      <c r="AE5" t="str">
        <f t="shared" si="13"/>
        <v>No</v>
      </c>
    </row>
    <row r="6" spans="1:35" ht="15.75" thickBot="1" x14ac:dyDescent="0.3">
      <c r="A6" s="227"/>
      <c r="B6" s="228"/>
      <c r="C6" s="228"/>
      <c r="D6" s="229"/>
      <c r="E6" s="229"/>
      <c r="F6" s="229"/>
      <c r="G6" s="229"/>
      <c r="H6" s="230"/>
      <c r="I6" s="229"/>
      <c r="J6" s="147"/>
      <c r="K6" s="147"/>
      <c r="L6" s="147"/>
      <c r="M6" s="147"/>
      <c r="N6" s="146"/>
      <c r="O6" s="146"/>
      <c r="P6" s="213" t="str">
        <f t="shared" si="0"/>
        <v>No</v>
      </c>
      <c r="Q6" s="148" t="str">
        <f t="shared" si="1"/>
        <v>No</v>
      </c>
      <c r="R6" t="e">
        <f>VLOOKUP(F6, Property!A:B, 2,0)</f>
        <v>#N/A</v>
      </c>
      <c r="T6">
        <f t="shared" si="2"/>
        <v>0</v>
      </c>
      <c r="U6">
        <f t="shared" si="3"/>
        <v>0</v>
      </c>
      <c r="V6">
        <f t="shared" si="4"/>
        <v>0</v>
      </c>
      <c r="W6">
        <f t="shared" si="5"/>
        <v>0</v>
      </c>
      <c r="X6">
        <f t="shared" si="6"/>
        <v>0</v>
      </c>
      <c r="Y6">
        <f t="shared" si="7"/>
        <v>0</v>
      </c>
      <c r="Z6" s="150" t="str">
        <f t="shared" si="8"/>
        <v>No</v>
      </c>
      <c r="AA6" s="150" t="str">
        <f t="shared" si="9"/>
        <v>No</v>
      </c>
      <c r="AB6">
        <f t="shared" si="10"/>
        <v>0</v>
      </c>
      <c r="AC6">
        <f t="shared" si="11"/>
        <v>0</v>
      </c>
      <c r="AD6" t="str">
        <f t="shared" si="12"/>
        <v>No</v>
      </c>
      <c r="AE6" t="str">
        <f t="shared" si="13"/>
        <v>No</v>
      </c>
    </row>
    <row r="7" spans="1:35" ht="15.75" thickBot="1" x14ac:dyDescent="0.3">
      <c r="A7" s="227"/>
      <c r="B7" s="228"/>
      <c r="C7" s="228"/>
      <c r="D7" s="229"/>
      <c r="E7" s="229"/>
      <c r="F7" s="229"/>
      <c r="G7" s="229"/>
      <c r="H7" s="230"/>
      <c r="I7" s="229"/>
      <c r="J7" s="147"/>
      <c r="K7" s="147"/>
      <c r="L7" s="147"/>
      <c r="M7" s="147"/>
      <c r="N7" s="146"/>
      <c r="O7" s="146"/>
      <c r="P7" s="213" t="str">
        <f t="shared" si="0"/>
        <v>No</v>
      </c>
      <c r="Q7" s="148" t="str">
        <f t="shared" si="1"/>
        <v>No</v>
      </c>
      <c r="R7" t="e">
        <f>VLOOKUP(F7, Property!A:B, 2,0)</f>
        <v>#N/A</v>
      </c>
      <c r="T7">
        <f t="shared" si="2"/>
        <v>0</v>
      </c>
      <c r="U7">
        <f t="shared" si="3"/>
        <v>0</v>
      </c>
      <c r="V7">
        <f t="shared" si="4"/>
        <v>0</v>
      </c>
      <c r="W7">
        <f t="shared" si="5"/>
        <v>0</v>
      </c>
      <c r="X7">
        <f t="shared" si="6"/>
        <v>0</v>
      </c>
      <c r="Y7">
        <f t="shared" si="7"/>
        <v>0</v>
      </c>
      <c r="Z7" s="150" t="str">
        <f t="shared" si="8"/>
        <v>No</v>
      </c>
      <c r="AA7" s="150" t="str">
        <f t="shared" si="9"/>
        <v>No</v>
      </c>
      <c r="AB7">
        <f t="shared" si="10"/>
        <v>0</v>
      </c>
      <c r="AC7">
        <f t="shared" si="11"/>
        <v>0</v>
      </c>
      <c r="AD7" t="str">
        <f t="shared" si="12"/>
        <v>No</v>
      </c>
      <c r="AE7" t="str">
        <f t="shared" si="13"/>
        <v>No</v>
      </c>
    </row>
    <row r="8" spans="1:35" ht="15.75" thickBot="1" x14ac:dyDescent="0.3">
      <c r="A8" s="227"/>
      <c r="B8" s="228"/>
      <c r="C8" s="228"/>
      <c r="D8" s="229"/>
      <c r="E8" s="229"/>
      <c r="F8" s="229"/>
      <c r="G8" s="229"/>
      <c r="H8" s="230"/>
      <c r="I8" s="229"/>
      <c r="J8" s="147"/>
      <c r="K8" s="147"/>
      <c r="L8" s="147"/>
      <c r="M8" s="147"/>
      <c r="N8" s="146"/>
      <c r="O8" s="146"/>
      <c r="P8" s="213" t="str">
        <f t="shared" si="0"/>
        <v>No</v>
      </c>
      <c r="Q8" s="148" t="str">
        <f t="shared" si="1"/>
        <v>No</v>
      </c>
      <c r="R8" t="e">
        <f>VLOOKUP(F8, Property!A:B, 2,0)</f>
        <v>#N/A</v>
      </c>
      <c r="T8">
        <f t="shared" si="2"/>
        <v>0</v>
      </c>
      <c r="U8">
        <f t="shared" si="3"/>
        <v>0</v>
      </c>
      <c r="V8">
        <f t="shared" si="4"/>
        <v>0</v>
      </c>
      <c r="W8">
        <f t="shared" si="5"/>
        <v>0</v>
      </c>
      <c r="X8">
        <f t="shared" si="6"/>
        <v>0</v>
      </c>
      <c r="Y8">
        <f t="shared" si="7"/>
        <v>0</v>
      </c>
      <c r="Z8" s="150" t="str">
        <f t="shared" si="8"/>
        <v>No</v>
      </c>
      <c r="AA8" s="150" t="str">
        <f t="shared" si="9"/>
        <v>No</v>
      </c>
      <c r="AB8">
        <f t="shared" si="10"/>
        <v>0</v>
      </c>
      <c r="AC8">
        <f t="shared" si="11"/>
        <v>0</v>
      </c>
      <c r="AD8" t="str">
        <f t="shared" si="12"/>
        <v>No</v>
      </c>
      <c r="AE8" t="str">
        <f t="shared" si="13"/>
        <v>No</v>
      </c>
    </row>
    <row r="9" spans="1:35" ht="15.75" thickBot="1" x14ac:dyDescent="0.3">
      <c r="A9" s="227"/>
      <c r="B9" s="228"/>
      <c r="C9" s="228"/>
      <c r="D9" s="229"/>
      <c r="E9" s="229"/>
      <c r="F9" s="229"/>
      <c r="G9" s="229"/>
      <c r="H9" s="230"/>
      <c r="I9" s="229"/>
      <c r="J9" s="147"/>
      <c r="K9" s="147"/>
      <c r="L9" s="147"/>
      <c r="M9" s="147"/>
      <c r="N9" s="146"/>
      <c r="O9" s="146"/>
      <c r="P9" s="213" t="str">
        <f t="shared" si="0"/>
        <v>No</v>
      </c>
      <c r="Q9" s="148" t="str">
        <f t="shared" si="1"/>
        <v>No</v>
      </c>
      <c r="R9" t="e">
        <f>VLOOKUP(F9, Property!A:B, 2,0)</f>
        <v>#N/A</v>
      </c>
      <c r="T9">
        <f t="shared" si="2"/>
        <v>0</v>
      </c>
      <c r="U9">
        <f t="shared" si="3"/>
        <v>0</v>
      </c>
      <c r="V9">
        <f t="shared" si="4"/>
        <v>0</v>
      </c>
      <c r="W9">
        <f t="shared" si="5"/>
        <v>0</v>
      </c>
      <c r="X9">
        <f t="shared" si="6"/>
        <v>0</v>
      </c>
      <c r="Y9">
        <f t="shared" si="7"/>
        <v>0</v>
      </c>
      <c r="Z9" s="150" t="str">
        <f t="shared" si="8"/>
        <v>No</v>
      </c>
      <c r="AA9" s="150" t="str">
        <f t="shared" si="9"/>
        <v>No</v>
      </c>
      <c r="AB9">
        <f t="shared" si="10"/>
        <v>0</v>
      </c>
      <c r="AC9">
        <f t="shared" si="11"/>
        <v>0</v>
      </c>
      <c r="AD9" t="str">
        <f t="shared" si="12"/>
        <v>No</v>
      </c>
      <c r="AE9" t="str">
        <f t="shared" si="13"/>
        <v>No</v>
      </c>
    </row>
    <row r="10" spans="1:35" ht="15.75" thickBot="1" x14ac:dyDescent="0.3">
      <c r="A10" s="227"/>
      <c r="B10" s="228"/>
      <c r="C10" s="228"/>
      <c r="D10" s="229"/>
      <c r="E10" s="229"/>
      <c r="F10" s="229"/>
      <c r="G10" s="229"/>
      <c r="H10" s="230"/>
      <c r="I10" s="229"/>
      <c r="J10" s="147"/>
      <c r="K10" s="147"/>
      <c r="L10" s="147"/>
      <c r="M10" s="146"/>
      <c r="N10" s="146"/>
      <c r="O10" s="146"/>
      <c r="P10" s="213" t="str">
        <f t="shared" si="0"/>
        <v>No</v>
      </c>
      <c r="Q10" s="148" t="str">
        <f t="shared" si="1"/>
        <v>No</v>
      </c>
      <c r="R10" t="e">
        <f>VLOOKUP(F10, Property!A:B, 2,0)</f>
        <v>#N/A</v>
      </c>
      <c r="T10">
        <f t="shared" si="2"/>
        <v>0</v>
      </c>
      <c r="U10">
        <f t="shared" si="3"/>
        <v>0</v>
      </c>
      <c r="V10">
        <f t="shared" si="4"/>
        <v>0</v>
      </c>
      <c r="W10">
        <f t="shared" si="5"/>
        <v>0</v>
      </c>
      <c r="X10">
        <f t="shared" si="6"/>
        <v>0</v>
      </c>
      <c r="Y10">
        <f t="shared" si="7"/>
        <v>0</v>
      </c>
      <c r="Z10" s="150" t="str">
        <f t="shared" si="8"/>
        <v>No</v>
      </c>
      <c r="AA10" s="150" t="str">
        <f t="shared" si="9"/>
        <v>No</v>
      </c>
      <c r="AB10">
        <f t="shared" si="10"/>
        <v>0</v>
      </c>
      <c r="AC10">
        <f t="shared" si="11"/>
        <v>0</v>
      </c>
      <c r="AD10" t="str">
        <f t="shared" si="12"/>
        <v>No</v>
      </c>
      <c r="AE10" t="str">
        <f t="shared" si="13"/>
        <v>No</v>
      </c>
    </row>
    <row r="11" spans="1:35" ht="15.75" thickBot="1" x14ac:dyDescent="0.3">
      <c r="A11" s="227"/>
      <c r="B11" s="228"/>
      <c r="C11" s="228"/>
      <c r="D11" s="229"/>
      <c r="E11" s="229"/>
      <c r="F11" s="229"/>
      <c r="G11" s="229"/>
      <c r="H11" s="230"/>
      <c r="I11" s="229"/>
      <c r="J11" s="147"/>
      <c r="K11" s="147"/>
      <c r="L11" s="147"/>
      <c r="M11" s="147"/>
      <c r="N11" s="146"/>
      <c r="O11" s="146"/>
      <c r="P11" s="213" t="str">
        <f t="shared" si="0"/>
        <v>No</v>
      </c>
      <c r="Q11" s="148" t="str">
        <f t="shared" si="1"/>
        <v>No</v>
      </c>
      <c r="R11" t="e">
        <f>VLOOKUP(F11, Property!A:B, 2,0)</f>
        <v>#N/A</v>
      </c>
      <c r="T11">
        <f t="shared" si="2"/>
        <v>0</v>
      </c>
      <c r="U11">
        <f t="shared" si="3"/>
        <v>0</v>
      </c>
      <c r="V11">
        <f t="shared" si="4"/>
        <v>0</v>
      </c>
      <c r="W11">
        <f t="shared" si="5"/>
        <v>0</v>
      </c>
      <c r="X11">
        <f t="shared" si="6"/>
        <v>0</v>
      </c>
      <c r="Y11">
        <f t="shared" si="7"/>
        <v>0</v>
      </c>
      <c r="Z11" s="150" t="str">
        <f t="shared" si="8"/>
        <v>No</v>
      </c>
      <c r="AA11" s="150" t="str">
        <f t="shared" si="9"/>
        <v>No</v>
      </c>
      <c r="AB11">
        <f t="shared" si="10"/>
        <v>0</v>
      </c>
      <c r="AC11">
        <f t="shared" si="11"/>
        <v>0</v>
      </c>
      <c r="AD11" t="str">
        <f t="shared" si="12"/>
        <v>No</v>
      </c>
      <c r="AE11" t="str">
        <f t="shared" si="13"/>
        <v>No</v>
      </c>
    </row>
    <row r="12" spans="1:35" ht="15.75" thickBot="1" x14ac:dyDescent="0.3">
      <c r="A12" s="227"/>
      <c r="B12" s="228"/>
      <c r="C12" s="228"/>
      <c r="D12" s="229"/>
      <c r="E12" s="229"/>
      <c r="F12" s="229"/>
      <c r="G12" s="229"/>
      <c r="H12" s="230"/>
      <c r="I12" s="229"/>
      <c r="J12" s="147"/>
      <c r="K12" s="147"/>
      <c r="L12" s="147"/>
      <c r="M12" s="147"/>
      <c r="N12" s="146"/>
      <c r="O12" s="146"/>
      <c r="P12" s="213" t="str">
        <f t="shared" si="0"/>
        <v>No</v>
      </c>
      <c r="Q12" s="148" t="str">
        <f t="shared" si="1"/>
        <v>No</v>
      </c>
      <c r="R12" t="e">
        <f>VLOOKUP(F12, Property!A:B, 2,0)</f>
        <v>#N/A</v>
      </c>
      <c r="T12">
        <f t="shared" si="2"/>
        <v>0</v>
      </c>
      <c r="U12">
        <f t="shared" si="3"/>
        <v>0</v>
      </c>
      <c r="V12">
        <f t="shared" si="4"/>
        <v>0</v>
      </c>
      <c r="W12">
        <f t="shared" si="5"/>
        <v>0</v>
      </c>
      <c r="X12">
        <f t="shared" si="6"/>
        <v>0</v>
      </c>
      <c r="Y12">
        <f t="shared" si="7"/>
        <v>0</v>
      </c>
      <c r="Z12" s="150" t="str">
        <f t="shared" si="8"/>
        <v>No</v>
      </c>
      <c r="AA12" s="150" t="str">
        <f t="shared" si="9"/>
        <v>No</v>
      </c>
      <c r="AB12">
        <f t="shared" si="10"/>
        <v>0</v>
      </c>
      <c r="AC12">
        <f t="shared" si="11"/>
        <v>0</v>
      </c>
      <c r="AD12" t="str">
        <f t="shared" si="12"/>
        <v>No</v>
      </c>
      <c r="AE12" t="str">
        <f t="shared" si="13"/>
        <v>No</v>
      </c>
    </row>
    <row r="13" spans="1:35" ht="15.75" thickBot="1" x14ac:dyDescent="0.3">
      <c r="A13" s="227"/>
      <c r="B13" s="228"/>
      <c r="C13" s="228"/>
      <c r="D13" s="229"/>
      <c r="E13" s="229"/>
      <c r="F13" s="229"/>
      <c r="G13" s="229"/>
      <c r="H13" s="230"/>
      <c r="I13" s="229"/>
      <c r="J13" s="147"/>
      <c r="K13" s="147"/>
      <c r="L13" s="147"/>
      <c r="M13" s="147"/>
      <c r="N13" s="146"/>
      <c r="O13" s="146"/>
      <c r="P13" s="213" t="str">
        <f t="shared" si="0"/>
        <v>No</v>
      </c>
      <c r="Q13" s="148" t="str">
        <f t="shared" si="1"/>
        <v>No</v>
      </c>
      <c r="R13" t="e">
        <f>VLOOKUP(F13, Property!A:B, 2,0)</f>
        <v>#N/A</v>
      </c>
      <c r="T13">
        <f t="shared" si="2"/>
        <v>0</v>
      </c>
      <c r="U13">
        <f t="shared" si="3"/>
        <v>0</v>
      </c>
      <c r="V13">
        <f t="shared" si="4"/>
        <v>0</v>
      </c>
      <c r="W13">
        <f t="shared" si="5"/>
        <v>0</v>
      </c>
      <c r="X13">
        <f t="shared" si="6"/>
        <v>0</v>
      </c>
      <c r="Y13">
        <f t="shared" si="7"/>
        <v>0</v>
      </c>
      <c r="Z13" s="150" t="str">
        <f t="shared" si="8"/>
        <v>No</v>
      </c>
      <c r="AA13" s="150" t="str">
        <f t="shared" si="9"/>
        <v>No</v>
      </c>
      <c r="AB13">
        <f t="shared" si="10"/>
        <v>0</v>
      </c>
      <c r="AC13">
        <f t="shared" si="11"/>
        <v>0</v>
      </c>
      <c r="AD13" t="str">
        <f t="shared" si="12"/>
        <v>No</v>
      </c>
      <c r="AE13" t="str">
        <f t="shared" si="13"/>
        <v>No</v>
      </c>
    </row>
    <row r="14" spans="1:35" ht="15.75" thickBot="1" x14ac:dyDescent="0.3">
      <c r="A14" s="227"/>
      <c r="B14" s="228"/>
      <c r="C14" s="228"/>
      <c r="D14" s="229"/>
      <c r="E14" s="229"/>
      <c r="F14" s="229"/>
      <c r="G14" s="229"/>
      <c r="H14" s="230"/>
      <c r="I14" s="229"/>
      <c r="J14" s="147"/>
      <c r="K14" s="147"/>
      <c r="L14" s="147"/>
      <c r="M14" s="147"/>
      <c r="N14" s="146"/>
      <c r="O14" s="146"/>
      <c r="P14" s="213" t="str">
        <f t="shared" si="0"/>
        <v>No</v>
      </c>
      <c r="Q14" s="148" t="str">
        <f t="shared" si="1"/>
        <v>No</v>
      </c>
      <c r="R14" t="e">
        <f>VLOOKUP(F14, Property!A:B, 2,0)</f>
        <v>#N/A</v>
      </c>
      <c r="T14">
        <f t="shared" si="2"/>
        <v>0</v>
      </c>
      <c r="U14">
        <f t="shared" si="3"/>
        <v>0</v>
      </c>
      <c r="V14">
        <f t="shared" si="4"/>
        <v>0</v>
      </c>
      <c r="W14">
        <f t="shared" si="5"/>
        <v>0</v>
      </c>
      <c r="X14">
        <f t="shared" si="6"/>
        <v>0</v>
      </c>
      <c r="Y14">
        <f t="shared" si="7"/>
        <v>0</v>
      </c>
      <c r="Z14" s="150" t="str">
        <f t="shared" si="8"/>
        <v>No</v>
      </c>
      <c r="AA14" s="150" t="str">
        <f t="shared" si="9"/>
        <v>No</v>
      </c>
      <c r="AB14">
        <f t="shared" si="10"/>
        <v>0</v>
      </c>
      <c r="AC14">
        <f t="shared" si="11"/>
        <v>0</v>
      </c>
      <c r="AD14" t="str">
        <f t="shared" si="12"/>
        <v>No</v>
      </c>
      <c r="AE14" t="str">
        <f t="shared" si="13"/>
        <v>No</v>
      </c>
    </row>
    <row r="15" spans="1:35" ht="15.75" thickBot="1" x14ac:dyDescent="0.3">
      <c r="A15" s="227"/>
      <c r="B15" s="228"/>
      <c r="C15" s="228"/>
      <c r="D15" s="229"/>
      <c r="E15" s="229"/>
      <c r="F15" s="229"/>
      <c r="G15" s="229"/>
      <c r="H15" s="230"/>
      <c r="I15" s="229"/>
      <c r="J15" s="147"/>
      <c r="K15" s="147"/>
      <c r="L15" s="147"/>
      <c r="M15" s="147"/>
      <c r="N15" s="146"/>
      <c r="O15" s="146"/>
      <c r="P15" s="213" t="str">
        <f t="shared" si="0"/>
        <v>No</v>
      </c>
      <c r="Q15" s="148" t="str">
        <f t="shared" si="1"/>
        <v>No</v>
      </c>
      <c r="R15" t="e">
        <f>VLOOKUP(F15, Property!A:B, 2,0)</f>
        <v>#N/A</v>
      </c>
      <c r="T15">
        <f t="shared" si="2"/>
        <v>0</v>
      </c>
      <c r="U15">
        <f t="shared" si="3"/>
        <v>0</v>
      </c>
      <c r="V15">
        <f t="shared" si="4"/>
        <v>0</v>
      </c>
      <c r="W15">
        <f t="shared" si="5"/>
        <v>0</v>
      </c>
      <c r="X15">
        <f t="shared" si="6"/>
        <v>0</v>
      </c>
      <c r="Y15">
        <f t="shared" si="7"/>
        <v>0</v>
      </c>
      <c r="Z15" s="150" t="str">
        <f t="shared" si="8"/>
        <v>No</v>
      </c>
      <c r="AA15" s="150" t="str">
        <f t="shared" si="9"/>
        <v>No</v>
      </c>
      <c r="AB15">
        <f t="shared" si="10"/>
        <v>0</v>
      </c>
      <c r="AC15">
        <f t="shared" si="11"/>
        <v>0</v>
      </c>
      <c r="AD15" t="str">
        <f t="shared" si="12"/>
        <v>No</v>
      </c>
      <c r="AE15" t="str">
        <f t="shared" si="13"/>
        <v>No</v>
      </c>
    </row>
    <row r="16" spans="1:35" ht="15.75" thickBot="1" x14ac:dyDescent="0.3">
      <c r="A16" s="227"/>
      <c r="B16" s="228"/>
      <c r="C16" s="228"/>
      <c r="D16" s="229"/>
      <c r="E16" s="229"/>
      <c r="F16" s="229"/>
      <c r="G16" s="229"/>
      <c r="H16" s="230"/>
      <c r="I16" s="229"/>
      <c r="J16" s="147"/>
      <c r="K16" s="147"/>
      <c r="L16" s="147"/>
      <c r="M16" s="147"/>
      <c r="N16" s="146"/>
      <c r="O16" s="146"/>
      <c r="P16" s="213" t="str">
        <f t="shared" si="0"/>
        <v>No</v>
      </c>
      <c r="Q16" s="148" t="str">
        <f t="shared" si="1"/>
        <v>No</v>
      </c>
      <c r="R16" t="e">
        <f>VLOOKUP(F16, Property!A:B, 2,0)</f>
        <v>#N/A</v>
      </c>
      <c r="T16">
        <f t="shared" si="2"/>
        <v>0</v>
      </c>
      <c r="U16">
        <f t="shared" si="3"/>
        <v>0</v>
      </c>
      <c r="V16">
        <f t="shared" si="4"/>
        <v>0</v>
      </c>
      <c r="W16">
        <f t="shared" si="5"/>
        <v>0</v>
      </c>
      <c r="X16">
        <f t="shared" si="6"/>
        <v>0</v>
      </c>
      <c r="Y16">
        <f t="shared" si="7"/>
        <v>0</v>
      </c>
      <c r="Z16" s="150" t="str">
        <f t="shared" si="8"/>
        <v>No</v>
      </c>
      <c r="AA16" s="150" t="str">
        <f t="shared" si="9"/>
        <v>No</v>
      </c>
      <c r="AB16">
        <f t="shared" si="10"/>
        <v>0</v>
      </c>
      <c r="AC16">
        <f t="shared" si="11"/>
        <v>0</v>
      </c>
      <c r="AD16" t="str">
        <f t="shared" si="12"/>
        <v>No</v>
      </c>
      <c r="AE16" t="str">
        <f t="shared" si="13"/>
        <v>No</v>
      </c>
    </row>
    <row r="17" spans="1:31" ht="15.75" thickBot="1" x14ac:dyDescent="0.3">
      <c r="A17" s="227"/>
      <c r="B17" s="228"/>
      <c r="C17" s="228"/>
      <c r="D17" s="229"/>
      <c r="E17" s="229"/>
      <c r="F17" s="229"/>
      <c r="G17" s="229"/>
      <c r="H17" s="229"/>
      <c r="I17" s="229"/>
      <c r="J17" s="147"/>
      <c r="K17" s="147"/>
      <c r="L17" s="147"/>
      <c r="M17" s="146"/>
      <c r="N17" s="146"/>
      <c r="O17" s="146"/>
      <c r="P17" s="213" t="str">
        <f t="shared" si="0"/>
        <v>No</v>
      </c>
      <c r="Q17" s="148" t="str">
        <f t="shared" si="1"/>
        <v>No</v>
      </c>
      <c r="R17" t="e">
        <f>VLOOKUP(F17, Property!A:B, 2,0)</f>
        <v>#N/A</v>
      </c>
      <c r="T17">
        <f t="shared" si="2"/>
        <v>0</v>
      </c>
      <c r="U17">
        <f t="shared" si="3"/>
        <v>0</v>
      </c>
      <c r="V17">
        <f t="shared" si="4"/>
        <v>0</v>
      </c>
      <c r="W17">
        <f t="shared" si="5"/>
        <v>0</v>
      </c>
      <c r="X17">
        <f t="shared" si="6"/>
        <v>0</v>
      </c>
      <c r="Y17">
        <f t="shared" si="7"/>
        <v>0</v>
      </c>
      <c r="Z17" s="150" t="str">
        <f t="shared" si="8"/>
        <v>No</v>
      </c>
      <c r="AA17" s="150" t="str">
        <f t="shared" si="9"/>
        <v>No</v>
      </c>
      <c r="AB17">
        <f t="shared" si="10"/>
        <v>0</v>
      </c>
      <c r="AC17">
        <f t="shared" si="11"/>
        <v>0</v>
      </c>
      <c r="AD17" t="str">
        <f t="shared" si="12"/>
        <v>No</v>
      </c>
      <c r="AE17" t="str">
        <f t="shared" si="13"/>
        <v>No</v>
      </c>
    </row>
    <row r="18" spans="1:31" ht="15.75" thickBot="1" x14ac:dyDescent="0.3">
      <c r="A18" s="227"/>
      <c r="B18" s="228"/>
      <c r="C18" s="228"/>
      <c r="D18" s="229"/>
      <c r="E18" s="229"/>
      <c r="F18" s="229"/>
      <c r="G18" s="229"/>
      <c r="H18" s="230"/>
      <c r="I18" s="229"/>
      <c r="J18" s="147"/>
      <c r="K18" s="147"/>
      <c r="L18" s="147"/>
      <c r="M18" s="146"/>
      <c r="N18" s="146"/>
      <c r="O18" s="146"/>
      <c r="P18" s="213" t="str">
        <f t="shared" si="0"/>
        <v>No</v>
      </c>
      <c r="Q18" s="148" t="str">
        <f t="shared" si="1"/>
        <v>No</v>
      </c>
      <c r="R18" t="e">
        <f>VLOOKUP(F18, Property!A:B, 2,0)</f>
        <v>#N/A</v>
      </c>
      <c r="T18">
        <f t="shared" si="2"/>
        <v>0</v>
      </c>
      <c r="U18">
        <f t="shared" si="3"/>
        <v>0</v>
      </c>
      <c r="V18">
        <f t="shared" si="4"/>
        <v>0</v>
      </c>
      <c r="W18">
        <f t="shared" si="5"/>
        <v>0</v>
      </c>
      <c r="X18">
        <f t="shared" si="6"/>
        <v>0</v>
      </c>
      <c r="Y18">
        <f t="shared" si="7"/>
        <v>0</v>
      </c>
      <c r="Z18" s="150" t="str">
        <f t="shared" si="8"/>
        <v>No</v>
      </c>
      <c r="AA18" s="150" t="str">
        <f t="shared" si="9"/>
        <v>No</v>
      </c>
      <c r="AB18">
        <f t="shared" si="10"/>
        <v>0</v>
      </c>
      <c r="AC18">
        <f t="shared" si="11"/>
        <v>0</v>
      </c>
      <c r="AD18" t="str">
        <f t="shared" si="12"/>
        <v>No</v>
      </c>
      <c r="AE18" t="str">
        <f t="shared" si="13"/>
        <v>No</v>
      </c>
    </row>
    <row r="19" spans="1:31" ht="15.75" thickBot="1" x14ac:dyDescent="0.3">
      <c r="A19" s="227"/>
      <c r="B19" s="228"/>
      <c r="C19" s="228"/>
      <c r="D19" s="229"/>
      <c r="E19" s="229"/>
      <c r="F19" s="229"/>
      <c r="G19" s="229"/>
      <c r="H19" s="230"/>
      <c r="I19" s="229"/>
      <c r="J19" s="147"/>
      <c r="K19" s="147"/>
      <c r="L19" s="147"/>
      <c r="M19" s="146"/>
      <c r="N19" s="146"/>
      <c r="O19" s="146"/>
      <c r="P19" s="213" t="str">
        <f t="shared" si="0"/>
        <v>No</v>
      </c>
      <c r="Q19" s="148" t="str">
        <f t="shared" si="1"/>
        <v>No</v>
      </c>
      <c r="R19" t="e">
        <f>VLOOKUP(F19, Property!A:B, 2,0)</f>
        <v>#N/A</v>
      </c>
      <c r="T19">
        <f t="shared" si="2"/>
        <v>0</v>
      </c>
      <c r="U19">
        <f t="shared" si="3"/>
        <v>0</v>
      </c>
      <c r="V19">
        <f t="shared" si="4"/>
        <v>0</v>
      </c>
      <c r="W19">
        <f t="shared" si="5"/>
        <v>0</v>
      </c>
      <c r="X19">
        <f t="shared" si="6"/>
        <v>0</v>
      </c>
      <c r="Y19">
        <f t="shared" si="7"/>
        <v>0</v>
      </c>
      <c r="Z19" s="150" t="str">
        <f t="shared" si="8"/>
        <v>No</v>
      </c>
      <c r="AA19" s="150" t="str">
        <f t="shared" si="9"/>
        <v>No</v>
      </c>
      <c r="AB19">
        <f t="shared" si="10"/>
        <v>0</v>
      </c>
      <c r="AC19">
        <f t="shared" si="11"/>
        <v>0</v>
      </c>
      <c r="AD19" t="str">
        <f t="shared" si="12"/>
        <v>No</v>
      </c>
      <c r="AE19" t="str">
        <f t="shared" si="13"/>
        <v>No</v>
      </c>
    </row>
    <row r="20" spans="1:31" ht="15.75" thickBot="1" x14ac:dyDescent="0.3">
      <c r="A20" s="227"/>
      <c r="B20" s="228"/>
      <c r="C20" s="228"/>
      <c r="D20" s="229"/>
      <c r="E20" s="229"/>
      <c r="F20" s="229"/>
      <c r="G20" s="229"/>
      <c r="H20" s="230"/>
      <c r="I20" s="229"/>
      <c r="J20" s="147"/>
      <c r="K20" s="147"/>
      <c r="L20" s="147"/>
      <c r="M20" s="146"/>
      <c r="N20" s="146"/>
      <c r="O20" s="146"/>
      <c r="P20" s="213" t="str">
        <f t="shared" si="0"/>
        <v>No</v>
      </c>
      <c r="Q20" s="148" t="str">
        <f t="shared" si="1"/>
        <v>No</v>
      </c>
      <c r="R20" t="e">
        <f>VLOOKUP(F20, Property!A:B, 2,0)</f>
        <v>#N/A</v>
      </c>
      <c r="T20">
        <f t="shared" si="2"/>
        <v>0</v>
      </c>
      <c r="U20">
        <f t="shared" si="3"/>
        <v>0</v>
      </c>
      <c r="V20">
        <f t="shared" si="4"/>
        <v>0</v>
      </c>
      <c r="W20">
        <f t="shared" si="5"/>
        <v>0</v>
      </c>
      <c r="X20">
        <f t="shared" si="6"/>
        <v>0</v>
      </c>
      <c r="Y20">
        <f t="shared" si="7"/>
        <v>0</v>
      </c>
      <c r="Z20" s="150" t="str">
        <f t="shared" si="8"/>
        <v>No</v>
      </c>
      <c r="AA20" s="150" t="str">
        <f t="shared" si="9"/>
        <v>No</v>
      </c>
      <c r="AB20">
        <f t="shared" si="10"/>
        <v>0</v>
      </c>
      <c r="AC20">
        <f t="shared" si="11"/>
        <v>0</v>
      </c>
      <c r="AD20" t="str">
        <f t="shared" si="12"/>
        <v>No</v>
      </c>
      <c r="AE20" t="str">
        <f t="shared" si="13"/>
        <v>No</v>
      </c>
    </row>
    <row r="21" spans="1:31" ht="15.75" thickBot="1" x14ac:dyDescent="0.3">
      <c r="A21" s="227"/>
      <c r="B21" s="228"/>
      <c r="C21" s="228"/>
      <c r="D21" s="229"/>
      <c r="E21" s="229"/>
      <c r="F21" s="229"/>
      <c r="G21" s="229"/>
      <c r="H21" s="229"/>
      <c r="I21" s="229"/>
      <c r="J21" s="147"/>
      <c r="K21" s="147"/>
      <c r="L21" s="147"/>
      <c r="M21" s="146"/>
      <c r="N21" s="146"/>
      <c r="O21" s="146"/>
      <c r="P21" s="213" t="str">
        <f t="shared" si="0"/>
        <v>No</v>
      </c>
      <c r="Q21" s="148" t="str">
        <f t="shared" si="1"/>
        <v>No</v>
      </c>
      <c r="R21" t="e">
        <f>VLOOKUP(F21, Property!A:B, 2,0)</f>
        <v>#N/A</v>
      </c>
      <c r="T21">
        <f t="shared" si="2"/>
        <v>0</v>
      </c>
      <c r="U21">
        <f t="shared" si="3"/>
        <v>0</v>
      </c>
      <c r="V21">
        <f t="shared" si="4"/>
        <v>0</v>
      </c>
      <c r="W21">
        <f t="shared" si="5"/>
        <v>0</v>
      </c>
      <c r="X21">
        <f t="shared" si="6"/>
        <v>0</v>
      </c>
      <c r="Y21">
        <f t="shared" si="7"/>
        <v>0</v>
      </c>
      <c r="Z21" s="150" t="str">
        <f t="shared" si="8"/>
        <v>No</v>
      </c>
      <c r="AA21" s="150" t="str">
        <f t="shared" si="9"/>
        <v>No</v>
      </c>
      <c r="AB21">
        <f t="shared" si="10"/>
        <v>0</v>
      </c>
      <c r="AC21">
        <f t="shared" si="11"/>
        <v>0</v>
      </c>
      <c r="AD21" t="str">
        <f t="shared" si="12"/>
        <v>No</v>
      </c>
      <c r="AE21" t="str">
        <f t="shared" si="13"/>
        <v>No</v>
      </c>
    </row>
    <row r="22" spans="1:31" ht="15.75" thickBot="1" x14ac:dyDescent="0.3">
      <c r="A22" s="227"/>
      <c r="B22" s="228"/>
      <c r="C22" s="228"/>
      <c r="D22" s="229"/>
      <c r="E22" s="229"/>
      <c r="F22" s="229"/>
      <c r="G22" s="229"/>
      <c r="H22" s="230"/>
      <c r="I22" s="229"/>
      <c r="J22" s="147"/>
      <c r="K22" s="147"/>
      <c r="L22" s="147"/>
      <c r="M22" s="146"/>
      <c r="N22" s="146"/>
      <c r="O22" s="146"/>
      <c r="P22" s="213" t="str">
        <f t="shared" si="0"/>
        <v>No</v>
      </c>
      <c r="Q22" s="148" t="str">
        <f t="shared" si="1"/>
        <v>No</v>
      </c>
      <c r="R22" t="e">
        <f>VLOOKUP(F22, Property!A:B, 2,0)</f>
        <v>#N/A</v>
      </c>
      <c r="T22">
        <f t="shared" si="2"/>
        <v>0</v>
      </c>
      <c r="U22">
        <f t="shared" si="3"/>
        <v>0</v>
      </c>
      <c r="V22">
        <f t="shared" si="4"/>
        <v>0</v>
      </c>
      <c r="W22">
        <f t="shared" si="5"/>
        <v>0</v>
      </c>
      <c r="X22">
        <f t="shared" si="6"/>
        <v>0</v>
      </c>
      <c r="Y22">
        <f t="shared" si="7"/>
        <v>0</v>
      </c>
      <c r="Z22" s="150" t="str">
        <f t="shared" si="8"/>
        <v>No</v>
      </c>
      <c r="AA22" s="150" t="str">
        <f t="shared" si="9"/>
        <v>No</v>
      </c>
      <c r="AB22">
        <f t="shared" si="10"/>
        <v>0</v>
      </c>
      <c r="AC22">
        <f t="shared" si="11"/>
        <v>0</v>
      </c>
      <c r="AD22" t="str">
        <f t="shared" si="12"/>
        <v>No</v>
      </c>
      <c r="AE22" t="str">
        <f t="shared" si="13"/>
        <v>No</v>
      </c>
    </row>
    <row r="23" spans="1:31" ht="15.75" thickBot="1" x14ac:dyDescent="0.3">
      <c r="A23" s="227"/>
      <c r="B23" s="228"/>
      <c r="C23" s="228"/>
      <c r="D23" s="229"/>
      <c r="E23" s="229"/>
      <c r="F23" s="229"/>
      <c r="G23" s="229"/>
      <c r="H23" s="230"/>
      <c r="I23" s="229"/>
      <c r="J23" s="147"/>
      <c r="K23" s="147"/>
      <c r="L23" s="147"/>
      <c r="M23" s="146"/>
      <c r="N23" s="146"/>
      <c r="O23" s="146"/>
      <c r="P23" s="213" t="str">
        <f t="shared" si="0"/>
        <v>No</v>
      </c>
      <c r="Q23" s="148" t="str">
        <f t="shared" si="1"/>
        <v>No</v>
      </c>
      <c r="R23" t="e">
        <f>VLOOKUP(F23, Property!A:B, 2,0)</f>
        <v>#N/A</v>
      </c>
      <c r="T23">
        <f t="shared" si="2"/>
        <v>0</v>
      </c>
      <c r="U23">
        <f t="shared" si="3"/>
        <v>0</v>
      </c>
      <c r="V23">
        <f t="shared" si="4"/>
        <v>0</v>
      </c>
      <c r="W23">
        <f t="shared" si="5"/>
        <v>0</v>
      </c>
      <c r="X23">
        <f t="shared" si="6"/>
        <v>0</v>
      </c>
      <c r="Y23">
        <f t="shared" si="7"/>
        <v>0</v>
      </c>
      <c r="Z23" s="150" t="str">
        <f t="shared" si="8"/>
        <v>No</v>
      </c>
      <c r="AA23" s="150" t="str">
        <f t="shared" si="9"/>
        <v>No</v>
      </c>
      <c r="AB23">
        <f t="shared" si="10"/>
        <v>0</v>
      </c>
      <c r="AC23">
        <f t="shared" si="11"/>
        <v>0</v>
      </c>
      <c r="AD23" t="str">
        <f t="shared" si="12"/>
        <v>No</v>
      </c>
      <c r="AE23" t="str">
        <f t="shared" si="13"/>
        <v>No</v>
      </c>
    </row>
    <row r="24" spans="1:31" ht="15.75" thickBot="1" x14ac:dyDescent="0.3">
      <c r="A24" s="227"/>
      <c r="B24" s="228"/>
      <c r="C24" s="228"/>
      <c r="D24" s="229"/>
      <c r="E24" s="229"/>
      <c r="F24" s="229"/>
      <c r="G24" s="229"/>
      <c r="H24" s="230"/>
      <c r="I24" s="229"/>
      <c r="J24" s="147"/>
      <c r="K24" s="147"/>
      <c r="L24" s="147"/>
      <c r="M24" s="146"/>
      <c r="N24" s="146"/>
      <c r="O24" s="146"/>
      <c r="P24" s="213" t="str">
        <f t="shared" si="0"/>
        <v>No</v>
      </c>
      <c r="Q24" s="148" t="str">
        <f t="shared" si="1"/>
        <v>No</v>
      </c>
      <c r="R24" t="e">
        <f>VLOOKUP(F24, Property!A:B, 2,0)</f>
        <v>#N/A</v>
      </c>
      <c r="T24">
        <f t="shared" si="2"/>
        <v>0</v>
      </c>
      <c r="U24">
        <f t="shared" si="3"/>
        <v>0</v>
      </c>
      <c r="V24">
        <f t="shared" si="4"/>
        <v>0</v>
      </c>
      <c r="W24">
        <f t="shared" si="5"/>
        <v>0</v>
      </c>
      <c r="X24">
        <f t="shared" si="6"/>
        <v>0</v>
      </c>
      <c r="Y24">
        <f t="shared" si="7"/>
        <v>0</v>
      </c>
      <c r="Z24" s="150" t="str">
        <f t="shared" si="8"/>
        <v>No</v>
      </c>
      <c r="AA24" s="150" t="str">
        <f t="shared" si="9"/>
        <v>No</v>
      </c>
      <c r="AB24">
        <f t="shared" si="10"/>
        <v>0</v>
      </c>
      <c r="AC24">
        <f t="shared" si="11"/>
        <v>0</v>
      </c>
      <c r="AD24" t="str">
        <f t="shared" si="12"/>
        <v>No</v>
      </c>
      <c r="AE24" t="str">
        <f t="shared" si="13"/>
        <v>No</v>
      </c>
    </row>
    <row r="25" spans="1:31" ht="15.75" thickBot="1" x14ac:dyDescent="0.3">
      <c r="A25" s="227"/>
      <c r="B25" s="228"/>
      <c r="C25" s="228"/>
      <c r="D25" s="229"/>
      <c r="E25" s="229"/>
      <c r="F25" s="229"/>
      <c r="G25" s="229"/>
      <c r="H25" s="230"/>
      <c r="I25" s="229"/>
      <c r="J25" s="147"/>
      <c r="K25" s="147"/>
      <c r="L25" s="147"/>
      <c r="M25" s="146"/>
      <c r="N25" s="146"/>
      <c r="O25" s="146"/>
      <c r="P25" s="213" t="str">
        <f t="shared" si="0"/>
        <v>No</v>
      </c>
      <c r="Q25" s="148" t="str">
        <f t="shared" si="1"/>
        <v>No</v>
      </c>
      <c r="R25" t="e">
        <f>VLOOKUP(F25, Property!A:B, 2,0)</f>
        <v>#N/A</v>
      </c>
      <c r="T25">
        <f t="shared" si="2"/>
        <v>0</v>
      </c>
      <c r="U25">
        <f t="shared" si="3"/>
        <v>0</v>
      </c>
      <c r="V25">
        <f t="shared" si="4"/>
        <v>0</v>
      </c>
      <c r="W25">
        <f t="shared" si="5"/>
        <v>0</v>
      </c>
      <c r="X25">
        <f t="shared" si="6"/>
        <v>0</v>
      </c>
      <c r="Y25">
        <f t="shared" si="7"/>
        <v>0</v>
      </c>
      <c r="Z25" s="150" t="str">
        <f t="shared" si="8"/>
        <v>No</v>
      </c>
      <c r="AA25" s="150" t="str">
        <f t="shared" si="9"/>
        <v>No</v>
      </c>
      <c r="AB25">
        <f t="shared" si="10"/>
        <v>0</v>
      </c>
      <c r="AC25">
        <f t="shared" si="11"/>
        <v>0</v>
      </c>
      <c r="AD25" t="str">
        <f t="shared" si="12"/>
        <v>No</v>
      </c>
      <c r="AE25" t="str">
        <f t="shared" si="13"/>
        <v>No</v>
      </c>
    </row>
    <row r="26" spans="1:31" ht="15.75" thickBot="1" x14ac:dyDescent="0.3">
      <c r="A26" s="227"/>
      <c r="B26" s="228"/>
      <c r="C26" s="228"/>
      <c r="D26" s="229"/>
      <c r="E26" s="229"/>
      <c r="F26" s="229"/>
      <c r="G26" s="229"/>
      <c r="H26" s="230"/>
      <c r="I26" s="229"/>
      <c r="J26" s="147"/>
      <c r="K26" s="147"/>
      <c r="L26" s="147"/>
      <c r="M26" s="146"/>
      <c r="N26" s="146"/>
      <c r="O26" s="146"/>
      <c r="P26" s="213" t="str">
        <f t="shared" si="0"/>
        <v>No</v>
      </c>
      <c r="Q26" s="148" t="str">
        <f t="shared" si="1"/>
        <v>No</v>
      </c>
      <c r="R26" t="e">
        <f>VLOOKUP(F26, Property!A:B, 2,0)</f>
        <v>#N/A</v>
      </c>
      <c r="T26">
        <f t="shared" si="2"/>
        <v>0</v>
      </c>
      <c r="U26">
        <f t="shared" si="3"/>
        <v>0</v>
      </c>
      <c r="V26">
        <f t="shared" si="4"/>
        <v>0</v>
      </c>
      <c r="W26">
        <f t="shared" si="5"/>
        <v>0</v>
      </c>
      <c r="X26">
        <f t="shared" si="6"/>
        <v>0</v>
      </c>
      <c r="Y26">
        <f t="shared" si="7"/>
        <v>0</v>
      </c>
      <c r="Z26" s="150" t="str">
        <f t="shared" si="8"/>
        <v>No</v>
      </c>
      <c r="AA26" s="150" t="str">
        <f t="shared" si="9"/>
        <v>No</v>
      </c>
      <c r="AB26">
        <f t="shared" si="10"/>
        <v>0</v>
      </c>
      <c r="AC26">
        <f t="shared" si="11"/>
        <v>0</v>
      </c>
      <c r="AD26" t="str">
        <f t="shared" si="12"/>
        <v>No</v>
      </c>
      <c r="AE26" t="str">
        <f t="shared" si="13"/>
        <v>No</v>
      </c>
    </row>
    <row r="27" spans="1:31" ht="15.75" thickBot="1" x14ac:dyDescent="0.3">
      <c r="A27" s="227"/>
      <c r="B27" s="228"/>
      <c r="C27" s="228"/>
      <c r="D27" s="229"/>
      <c r="E27" s="229"/>
      <c r="F27" s="229"/>
      <c r="G27" s="229"/>
      <c r="H27" s="230"/>
      <c r="I27" s="229"/>
      <c r="J27" s="147"/>
      <c r="K27" s="147"/>
      <c r="L27" s="147"/>
      <c r="M27" s="146"/>
      <c r="N27" s="146"/>
      <c r="O27" s="146"/>
      <c r="P27" s="213" t="str">
        <f t="shared" si="0"/>
        <v>No</v>
      </c>
      <c r="Q27" s="148" t="str">
        <f t="shared" si="1"/>
        <v>No</v>
      </c>
      <c r="R27" t="e">
        <f>VLOOKUP(F27, Property!A:B, 2,0)</f>
        <v>#N/A</v>
      </c>
      <c r="T27">
        <f t="shared" si="2"/>
        <v>0</v>
      </c>
      <c r="U27">
        <f t="shared" si="3"/>
        <v>0</v>
      </c>
      <c r="V27">
        <f t="shared" si="4"/>
        <v>0</v>
      </c>
      <c r="W27">
        <f t="shared" si="5"/>
        <v>0</v>
      </c>
      <c r="X27">
        <f t="shared" si="6"/>
        <v>0</v>
      </c>
      <c r="Y27">
        <f t="shared" si="7"/>
        <v>0</v>
      </c>
      <c r="Z27" s="150" t="str">
        <f t="shared" si="8"/>
        <v>No</v>
      </c>
      <c r="AA27" s="150" t="str">
        <f t="shared" si="9"/>
        <v>No</v>
      </c>
      <c r="AB27">
        <f t="shared" si="10"/>
        <v>0</v>
      </c>
      <c r="AC27">
        <f t="shared" si="11"/>
        <v>0</v>
      </c>
      <c r="AD27" t="str">
        <f t="shared" si="12"/>
        <v>No</v>
      </c>
      <c r="AE27" t="str">
        <f t="shared" si="13"/>
        <v>No</v>
      </c>
    </row>
    <row r="28" spans="1:31" ht="15.75" thickBot="1" x14ac:dyDescent="0.3">
      <c r="A28" s="227"/>
      <c r="B28" s="228"/>
      <c r="C28" s="228"/>
      <c r="D28" s="229"/>
      <c r="E28" s="229"/>
      <c r="F28" s="229"/>
      <c r="G28" s="229"/>
      <c r="H28" s="230"/>
      <c r="I28" s="229"/>
      <c r="J28" s="147"/>
      <c r="K28" s="147"/>
      <c r="L28" s="147"/>
      <c r="M28" s="146"/>
      <c r="N28" s="146"/>
      <c r="O28" s="146"/>
      <c r="P28" s="213" t="str">
        <f t="shared" si="0"/>
        <v>No</v>
      </c>
      <c r="Q28" s="148" t="str">
        <f t="shared" si="1"/>
        <v>No</v>
      </c>
      <c r="R28" t="e">
        <f>VLOOKUP(F28, Property!A:B, 2,0)</f>
        <v>#N/A</v>
      </c>
      <c r="T28">
        <f t="shared" si="2"/>
        <v>0</v>
      </c>
      <c r="U28">
        <f t="shared" si="3"/>
        <v>0</v>
      </c>
      <c r="V28">
        <f t="shared" si="4"/>
        <v>0</v>
      </c>
      <c r="W28">
        <f t="shared" si="5"/>
        <v>0</v>
      </c>
      <c r="X28">
        <f t="shared" si="6"/>
        <v>0</v>
      </c>
      <c r="Y28">
        <f t="shared" si="7"/>
        <v>0</v>
      </c>
      <c r="Z28" s="150" t="str">
        <f t="shared" si="8"/>
        <v>No</v>
      </c>
      <c r="AA28" s="150" t="str">
        <f t="shared" si="9"/>
        <v>No</v>
      </c>
      <c r="AB28">
        <f t="shared" si="10"/>
        <v>0</v>
      </c>
      <c r="AC28">
        <f t="shared" si="11"/>
        <v>0</v>
      </c>
      <c r="AD28" t="str">
        <f t="shared" si="12"/>
        <v>No</v>
      </c>
      <c r="AE28" t="str">
        <f t="shared" si="13"/>
        <v>No</v>
      </c>
    </row>
    <row r="29" spans="1:31" ht="15.75" thickBot="1" x14ac:dyDescent="0.3">
      <c r="A29" s="227"/>
      <c r="B29" s="228"/>
      <c r="C29" s="228"/>
      <c r="D29" s="229"/>
      <c r="E29" s="229"/>
      <c r="F29" s="229"/>
      <c r="G29" s="229"/>
      <c r="H29" s="230"/>
      <c r="I29" s="229"/>
      <c r="J29" s="147"/>
      <c r="K29" s="147"/>
      <c r="L29" s="147"/>
      <c r="M29" s="146"/>
      <c r="N29" s="146"/>
      <c r="O29" s="146"/>
      <c r="P29" s="213" t="str">
        <f t="shared" si="0"/>
        <v>No</v>
      </c>
      <c r="Q29" s="148" t="str">
        <f t="shared" si="1"/>
        <v>No</v>
      </c>
      <c r="R29" t="e">
        <f>VLOOKUP(F29, Property!A:B, 2,0)</f>
        <v>#N/A</v>
      </c>
      <c r="T29">
        <f t="shared" si="2"/>
        <v>0</v>
      </c>
      <c r="U29">
        <f t="shared" si="3"/>
        <v>0</v>
      </c>
      <c r="V29">
        <f t="shared" si="4"/>
        <v>0</v>
      </c>
      <c r="W29">
        <f t="shared" si="5"/>
        <v>0</v>
      </c>
      <c r="X29">
        <f t="shared" si="6"/>
        <v>0</v>
      </c>
      <c r="Y29">
        <f t="shared" si="7"/>
        <v>0</v>
      </c>
      <c r="Z29" s="150" t="str">
        <f t="shared" si="8"/>
        <v>No</v>
      </c>
      <c r="AA29" s="150" t="str">
        <f t="shared" si="9"/>
        <v>No</v>
      </c>
      <c r="AB29">
        <f t="shared" si="10"/>
        <v>0</v>
      </c>
      <c r="AC29">
        <f t="shared" si="11"/>
        <v>0</v>
      </c>
      <c r="AD29" t="str">
        <f t="shared" si="12"/>
        <v>No</v>
      </c>
      <c r="AE29" t="str">
        <f t="shared" si="13"/>
        <v>No</v>
      </c>
    </row>
    <row r="30" spans="1:31" ht="15.75" thickBot="1" x14ac:dyDescent="0.3">
      <c r="A30" s="227"/>
      <c r="B30" s="228"/>
      <c r="C30" s="228"/>
      <c r="D30" s="229"/>
      <c r="E30" s="229"/>
      <c r="F30" s="229"/>
      <c r="G30" s="229"/>
      <c r="H30" s="230"/>
      <c r="I30" s="229"/>
      <c r="J30" s="147"/>
      <c r="K30" s="147"/>
      <c r="L30" s="147"/>
      <c r="M30" s="146"/>
      <c r="N30" s="146"/>
      <c r="O30" s="146"/>
      <c r="P30" s="213" t="str">
        <f t="shared" si="0"/>
        <v>No</v>
      </c>
      <c r="Q30" s="148" t="str">
        <f t="shared" si="1"/>
        <v>No</v>
      </c>
      <c r="R30" t="e">
        <f>VLOOKUP(F30, Property!A:B, 2,0)</f>
        <v>#N/A</v>
      </c>
      <c r="T30">
        <f t="shared" si="2"/>
        <v>0</v>
      </c>
      <c r="U30">
        <f t="shared" si="3"/>
        <v>0</v>
      </c>
      <c r="V30">
        <f t="shared" si="4"/>
        <v>0</v>
      </c>
      <c r="W30">
        <f t="shared" si="5"/>
        <v>0</v>
      </c>
      <c r="X30">
        <f t="shared" si="6"/>
        <v>0</v>
      </c>
      <c r="Y30">
        <f t="shared" si="7"/>
        <v>0</v>
      </c>
      <c r="Z30" s="150" t="str">
        <f t="shared" si="8"/>
        <v>No</v>
      </c>
      <c r="AA30" s="150" t="str">
        <f t="shared" si="9"/>
        <v>No</v>
      </c>
      <c r="AB30">
        <f t="shared" si="10"/>
        <v>0</v>
      </c>
      <c r="AC30">
        <f t="shared" si="11"/>
        <v>0</v>
      </c>
      <c r="AD30" t="str">
        <f t="shared" si="12"/>
        <v>No</v>
      </c>
      <c r="AE30" t="str">
        <f t="shared" si="13"/>
        <v>No</v>
      </c>
    </row>
    <row r="31" spans="1:31" ht="15.75" thickBot="1" x14ac:dyDescent="0.3">
      <c r="A31" s="227"/>
      <c r="B31" s="228"/>
      <c r="C31" s="228"/>
      <c r="D31" s="229"/>
      <c r="E31" s="229"/>
      <c r="F31" s="229"/>
      <c r="G31" s="229"/>
      <c r="H31" s="229"/>
      <c r="I31" s="229"/>
      <c r="J31" s="147"/>
      <c r="K31" s="147"/>
      <c r="L31" s="147"/>
      <c r="M31" s="146"/>
      <c r="N31" s="146"/>
      <c r="O31" s="146"/>
      <c r="P31" s="213" t="str">
        <f t="shared" si="0"/>
        <v>No</v>
      </c>
      <c r="Q31" s="148" t="str">
        <f t="shared" si="1"/>
        <v>No</v>
      </c>
      <c r="R31" t="e">
        <f>VLOOKUP(F31, Property!A:B, 2,0)</f>
        <v>#N/A</v>
      </c>
      <c r="T31">
        <f t="shared" si="2"/>
        <v>0</v>
      </c>
      <c r="U31">
        <f t="shared" si="3"/>
        <v>0</v>
      </c>
      <c r="V31">
        <f t="shared" si="4"/>
        <v>0</v>
      </c>
      <c r="W31">
        <f t="shared" si="5"/>
        <v>0</v>
      </c>
      <c r="X31">
        <f t="shared" si="6"/>
        <v>0</v>
      </c>
      <c r="Y31">
        <f t="shared" si="7"/>
        <v>0</v>
      </c>
      <c r="Z31" s="150" t="str">
        <f t="shared" si="8"/>
        <v>No</v>
      </c>
      <c r="AA31" s="150" t="str">
        <f t="shared" si="9"/>
        <v>No</v>
      </c>
      <c r="AB31">
        <f t="shared" si="10"/>
        <v>0</v>
      </c>
      <c r="AC31">
        <f t="shared" si="11"/>
        <v>0</v>
      </c>
      <c r="AD31" t="str">
        <f t="shared" si="12"/>
        <v>No</v>
      </c>
      <c r="AE31" t="str">
        <f t="shared" si="13"/>
        <v>No</v>
      </c>
    </row>
    <row r="32" spans="1:31" ht="15.75" thickBot="1" x14ac:dyDescent="0.3">
      <c r="A32" s="227"/>
      <c r="B32" s="228"/>
      <c r="C32" s="228"/>
      <c r="D32" s="229"/>
      <c r="E32" s="229"/>
      <c r="F32" s="229"/>
      <c r="G32" s="229"/>
      <c r="H32" s="230"/>
      <c r="I32" s="229"/>
      <c r="J32" s="147"/>
      <c r="K32" s="147"/>
      <c r="L32" s="147"/>
      <c r="M32" s="146"/>
      <c r="N32" s="146"/>
      <c r="O32" s="146"/>
      <c r="P32" s="213" t="str">
        <f t="shared" si="0"/>
        <v>No</v>
      </c>
      <c r="Q32" s="148" t="str">
        <f t="shared" si="1"/>
        <v>No</v>
      </c>
      <c r="R32" t="e">
        <f>VLOOKUP(F32, Property!A:B, 2,0)</f>
        <v>#N/A</v>
      </c>
      <c r="T32">
        <f t="shared" si="2"/>
        <v>0</v>
      </c>
      <c r="U32">
        <f t="shared" si="3"/>
        <v>0</v>
      </c>
      <c r="V32">
        <f t="shared" si="4"/>
        <v>0</v>
      </c>
      <c r="W32">
        <f t="shared" si="5"/>
        <v>0</v>
      </c>
      <c r="X32">
        <f t="shared" si="6"/>
        <v>0</v>
      </c>
      <c r="Y32">
        <f t="shared" si="7"/>
        <v>0</v>
      </c>
      <c r="Z32" s="150" t="str">
        <f t="shared" si="8"/>
        <v>No</v>
      </c>
      <c r="AA32" s="150" t="str">
        <f t="shared" si="9"/>
        <v>No</v>
      </c>
      <c r="AB32">
        <f t="shared" si="10"/>
        <v>0</v>
      </c>
      <c r="AC32">
        <f t="shared" si="11"/>
        <v>0</v>
      </c>
      <c r="AD32" t="str">
        <f t="shared" si="12"/>
        <v>No</v>
      </c>
      <c r="AE32" t="str">
        <f t="shared" si="13"/>
        <v>No</v>
      </c>
    </row>
    <row r="33" spans="1:31" ht="15.75" thickBot="1" x14ac:dyDescent="0.3">
      <c r="A33" s="227"/>
      <c r="B33" s="228"/>
      <c r="C33" s="228"/>
      <c r="D33" s="229"/>
      <c r="E33" s="229"/>
      <c r="F33" s="229"/>
      <c r="G33" s="229"/>
      <c r="H33" s="230"/>
      <c r="I33" s="229"/>
      <c r="J33" s="147"/>
      <c r="K33" s="147"/>
      <c r="L33" s="147"/>
      <c r="M33" s="146"/>
      <c r="N33" s="146"/>
      <c r="O33" s="146"/>
      <c r="P33" s="213" t="str">
        <f t="shared" si="0"/>
        <v>No</v>
      </c>
      <c r="Q33" s="148" t="str">
        <f t="shared" si="1"/>
        <v>No</v>
      </c>
      <c r="R33" t="e">
        <f>VLOOKUP(F33, Property!A:B, 2,0)</f>
        <v>#N/A</v>
      </c>
      <c r="T33">
        <f t="shared" si="2"/>
        <v>0</v>
      </c>
      <c r="U33">
        <f t="shared" si="3"/>
        <v>0</v>
      </c>
      <c r="V33">
        <f t="shared" si="4"/>
        <v>0</v>
      </c>
      <c r="W33">
        <f t="shared" si="5"/>
        <v>0</v>
      </c>
      <c r="X33">
        <f t="shared" si="6"/>
        <v>0</v>
      </c>
      <c r="Y33">
        <f t="shared" si="7"/>
        <v>0</v>
      </c>
      <c r="Z33" s="150" t="str">
        <f t="shared" si="8"/>
        <v>No</v>
      </c>
      <c r="AA33" s="150" t="str">
        <f t="shared" si="9"/>
        <v>No</v>
      </c>
      <c r="AB33">
        <f t="shared" si="10"/>
        <v>0</v>
      </c>
      <c r="AC33">
        <f t="shared" si="11"/>
        <v>0</v>
      </c>
      <c r="AD33" t="str">
        <f t="shared" si="12"/>
        <v>No</v>
      </c>
      <c r="AE33" t="str">
        <f t="shared" si="13"/>
        <v>No</v>
      </c>
    </row>
    <row r="34" spans="1:31" ht="15.75" thickBot="1" x14ac:dyDescent="0.3">
      <c r="A34" s="227"/>
      <c r="B34" s="228"/>
      <c r="C34" s="228"/>
      <c r="D34" s="229"/>
      <c r="E34" s="229"/>
      <c r="F34" s="229"/>
      <c r="G34" s="229"/>
      <c r="H34" s="230"/>
      <c r="I34" s="229"/>
      <c r="J34" s="147"/>
      <c r="K34" s="147"/>
      <c r="L34" s="147"/>
      <c r="M34" s="146"/>
      <c r="N34" s="146"/>
      <c r="O34" s="146"/>
      <c r="P34" s="213" t="str">
        <f t="shared" si="0"/>
        <v>No</v>
      </c>
      <c r="Q34" s="148" t="str">
        <f t="shared" si="1"/>
        <v>No</v>
      </c>
      <c r="R34" t="e">
        <f>VLOOKUP(F34, Property!A:B, 2,0)</f>
        <v>#N/A</v>
      </c>
      <c r="T34">
        <f t="shared" si="2"/>
        <v>0</v>
      </c>
      <c r="U34">
        <f t="shared" si="3"/>
        <v>0</v>
      </c>
      <c r="V34">
        <f t="shared" si="4"/>
        <v>0</v>
      </c>
      <c r="W34">
        <f t="shared" si="5"/>
        <v>0</v>
      </c>
      <c r="X34">
        <f t="shared" si="6"/>
        <v>0</v>
      </c>
      <c r="Y34">
        <f t="shared" si="7"/>
        <v>0</v>
      </c>
      <c r="Z34" s="150" t="str">
        <f t="shared" si="8"/>
        <v>No</v>
      </c>
      <c r="AA34" s="150" t="str">
        <f t="shared" si="9"/>
        <v>No</v>
      </c>
      <c r="AB34">
        <f t="shared" si="10"/>
        <v>0</v>
      </c>
      <c r="AC34">
        <f t="shared" si="11"/>
        <v>0</v>
      </c>
      <c r="AD34" t="str">
        <f t="shared" si="12"/>
        <v>No</v>
      </c>
      <c r="AE34" t="str">
        <f t="shared" si="13"/>
        <v>No</v>
      </c>
    </row>
    <row r="35" spans="1:31" x14ac:dyDescent="0.25">
      <c r="A35" s="227"/>
      <c r="B35" s="228"/>
      <c r="C35" s="228"/>
      <c r="D35" s="229"/>
      <c r="E35" s="229"/>
      <c r="F35" s="229"/>
      <c r="G35" s="229"/>
      <c r="H35" s="229"/>
      <c r="I35" s="229"/>
      <c r="J35" s="220"/>
      <c r="K35" s="216"/>
      <c r="L35" s="216"/>
      <c r="M35" s="217"/>
      <c r="N35" s="217"/>
      <c r="O35" s="217"/>
      <c r="P35" s="213" t="str">
        <f t="shared" si="0"/>
        <v>No</v>
      </c>
      <c r="Q35" s="148" t="str">
        <f t="shared" si="1"/>
        <v>No</v>
      </c>
      <c r="R35" t="e">
        <f>VLOOKUP(F35, Property!A:B, 2,0)</f>
        <v>#N/A</v>
      </c>
      <c r="T35">
        <f t="shared" si="2"/>
        <v>0</v>
      </c>
      <c r="U35">
        <f t="shared" si="3"/>
        <v>0</v>
      </c>
      <c r="V35">
        <f t="shared" si="4"/>
        <v>0</v>
      </c>
      <c r="W35">
        <f t="shared" si="5"/>
        <v>0</v>
      </c>
      <c r="X35">
        <f t="shared" si="6"/>
        <v>0</v>
      </c>
      <c r="Y35">
        <f t="shared" si="7"/>
        <v>0</v>
      </c>
      <c r="Z35" s="150" t="str">
        <f t="shared" si="8"/>
        <v>No</v>
      </c>
      <c r="AA35" s="150" t="str">
        <f t="shared" si="9"/>
        <v>No</v>
      </c>
      <c r="AB35">
        <f t="shared" si="10"/>
        <v>0</v>
      </c>
      <c r="AC35">
        <f t="shared" si="11"/>
        <v>0</v>
      </c>
      <c r="AD35" t="str">
        <f t="shared" si="12"/>
        <v>No</v>
      </c>
      <c r="AE35" t="str">
        <f t="shared" si="13"/>
        <v>No</v>
      </c>
    </row>
    <row r="36" spans="1:31" x14ac:dyDescent="0.25">
      <c r="A36" s="227"/>
      <c r="B36" s="228"/>
      <c r="C36" s="228"/>
      <c r="D36" s="229"/>
      <c r="E36" s="229"/>
      <c r="F36" s="229"/>
      <c r="G36" s="229"/>
      <c r="H36" s="229"/>
      <c r="I36" s="229"/>
      <c r="J36" s="220"/>
      <c r="K36" s="216"/>
      <c r="L36" s="216"/>
      <c r="M36" s="217"/>
      <c r="N36" s="217"/>
      <c r="O36" s="217"/>
      <c r="P36" s="213" t="str">
        <f t="shared" si="0"/>
        <v>No</v>
      </c>
      <c r="Q36" s="148" t="str">
        <f t="shared" si="1"/>
        <v>No</v>
      </c>
      <c r="R36" t="e">
        <f>VLOOKUP(F36, Property!A:B, 2,0)</f>
        <v>#N/A</v>
      </c>
      <c r="T36">
        <f t="shared" si="2"/>
        <v>0</v>
      </c>
      <c r="U36">
        <f t="shared" si="3"/>
        <v>0</v>
      </c>
      <c r="V36">
        <f t="shared" si="4"/>
        <v>0</v>
      </c>
      <c r="W36">
        <f t="shared" si="5"/>
        <v>0</v>
      </c>
      <c r="X36">
        <f t="shared" si="6"/>
        <v>0</v>
      </c>
      <c r="Y36">
        <f t="shared" si="7"/>
        <v>0</v>
      </c>
      <c r="Z36" s="150" t="str">
        <f t="shared" si="8"/>
        <v>No</v>
      </c>
      <c r="AA36" s="150" t="str">
        <f t="shared" si="9"/>
        <v>No</v>
      </c>
      <c r="AB36">
        <f t="shared" si="10"/>
        <v>0</v>
      </c>
      <c r="AC36">
        <f t="shared" si="11"/>
        <v>0</v>
      </c>
      <c r="AD36" t="str">
        <f t="shared" si="12"/>
        <v>No</v>
      </c>
      <c r="AE36" t="str">
        <f t="shared" si="13"/>
        <v>No</v>
      </c>
    </row>
    <row r="37" spans="1:31" x14ac:dyDescent="0.25">
      <c r="A37" s="227"/>
      <c r="B37" s="228"/>
      <c r="C37" s="228"/>
      <c r="D37" s="229"/>
      <c r="E37" s="229"/>
      <c r="F37" s="229"/>
      <c r="G37" s="229"/>
      <c r="H37" s="229"/>
      <c r="I37" s="229"/>
      <c r="J37" s="220"/>
      <c r="K37" s="216"/>
      <c r="L37" s="216"/>
      <c r="M37" s="217"/>
      <c r="N37" s="217"/>
      <c r="O37" s="217"/>
      <c r="P37" s="213" t="str">
        <f t="shared" si="0"/>
        <v>No</v>
      </c>
      <c r="Q37" s="148" t="str">
        <f t="shared" si="1"/>
        <v>No</v>
      </c>
      <c r="R37" t="e">
        <f>VLOOKUP(F37, Property!A:B, 2,0)</f>
        <v>#N/A</v>
      </c>
      <c r="T37">
        <f t="shared" si="2"/>
        <v>0</v>
      </c>
      <c r="U37">
        <f t="shared" si="3"/>
        <v>0</v>
      </c>
      <c r="V37">
        <f t="shared" si="4"/>
        <v>0</v>
      </c>
      <c r="W37">
        <f t="shared" si="5"/>
        <v>0</v>
      </c>
      <c r="X37">
        <f t="shared" si="6"/>
        <v>0</v>
      </c>
      <c r="Y37">
        <f t="shared" si="7"/>
        <v>0</v>
      </c>
      <c r="Z37" s="150" t="str">
        <f t="shared" si="8"/>
        <v>No</v>
      </c>
      <c r="AA37" s="150" t="str">
        <f t="shared" si="9"/>
        <v>No</v>
      </c>
      <c r="AB37">
        <f t="shared" si="10"/>
        <v>0</v>
      </c>
      <c r="AC37">
        <f t="shared" si="11"/>
        <v>0</v>
      </c>
      <c r="AD37" t="str">
        <f t="shared" si="12"/>
        <v>No</v>
      </c>
      <c r="AE37" t="str">
        <f t="shared" si="13"/>
        <v>No</v>
      </c>
    </row>
    <row r="38" spans="1:31" x14ac:dyDescent="0.25">
      <c r="A38" s="227"/>
      <c r="B38" s="228"/>
      <c r="C38" s="228"/>
      <c r="D38" s="229"/>
      <c r="E38" s="229"/>
      <c r="F38" s="229"/>
      <c r="G38" s="229"/>
      <c r="H38" s="229"/>
      <c r="I38" s="229"/>
      <c r="J38" s="220"/>
      <c r="K38" s="216"/>
      <c r="L38" s="216"/>
      <c r="M38" s="217"/>
      <c r="N38" s="217"/>
      <c r="O38" s="217"/>
      <c r="P38" s="213" t="str">
        <f t="shared" si="0"/>
        <v>No</v>
      </c>
      <c r="Q38" s="148" t="str">
        <f t="shared" si="1"/>
        <v>No</v>
      </c>
      <c r="R38" t="e">
        <f>VLOOKUP(F38, Property!A:B, 2,0)</f>
        <v>#N/A</v>
      </c>
      <c r="T38">
        <f t="shared" si="2"/>
        <v>0</v>
      </c>
      <c r="U38">
        <f t="shared" si="3"/>
        <v>0</v>
      </c>
      <c r="V38">
        <f t="shared" si="4"/>
        <v>0</v>
      </c>
      <c r="W38">
        <f t="shared" si="5"/>
        <v>0</v>
      </c>
      <c r="X38">
        <f t="shared" si="6"/>
        <v>0</v>
      </c>
      <c r="Y38">
        <f t="shared" si="7"/>
        <v>0</v>
      </c>
      <c r="Z38" s="150" t="str">
        <f t="shared" si="8"/>
        <v>No</v>
      </c>
      <c r="AA38" s="150" t="str">
        <f t="shared" si="9"/>
        <v>No</v>
      </c>
      <c r="AB38">
        <f t="shared" si="10"/>
        <v>0</v>
      </c>
      <c r="AC38">
        <f t="shared" si="11"/>
        <v>0</v>
      </c>
      <c r="AD38" t="str">
        <f t="shared" si="12"/>
        <v>No</v>
      </c>
      <c r="AE38" t="str">
        <f t="shared" si="13"/>
        <v>No</v>
      </c>
    </row>
    <row r="39" spans="1:31" x14ac:dyDescent="0.25">
      <c r="A39" s="227"/>
      <c r="B39" s="228"/>
      <c r="C39" s="228"/>
      <c r="D39" s="229"/>
      <c r="E39" s="229"/>
      <c r="F39" s="229"/>
      <c r="G39" s="229"/>
      <c r="H39" s="229"/>
      <c r="I39" s="229"/>
      <c r="J39" s="220"/>
      <c r="K39" s="216"/>
      <c r="L39" s="216"/>
      <c r="M39" s="217"/>
      <c r="N39" s="217"/>
      <c r="O39" s="217"/>
      <c r="P39" s="213" t="str">
        <f t="shared" si="0"/>
        <v>No</v>
      </c>
      <c r="Q39" s="148" t="str">
        <f t="shared" si="1"/>
        <v>No</v>
      </c>
      <c r="R39" t="e">
        <f>VLOOKUP(F39, Property!A:B, 2,0)</f>
        <v>#N/A</v>
      </c>
      <c r="T39">
        <f t="shared" si="2"/>
        <v>0</v>
      </c>
      <c r="U39">
        <f t="shared" si="3"/>
        <v>0</v>
      </c>
      <c r="V39">
        <f t="shared" si="4"/>
        <v>0</v>
      </c>
      <c r="W39">
        <f t="shared" si="5"/>
        <v>0</v>
      </c>
      <c r="X39">
        <f t="shared" si="6"/>
        <v>0</v>
      </c>
      <c r="Y39">
        <f t="shared" si="7"/>
        <v>0</v>
      </c>
      <c r="Z39" s="150" t="str">
        <f t="shared" si="8"/>
        <v>No</v>
      </c>
      <c r="AA39" s="150" t="str">
        <f t="shared" si="9"/>
        <v>No</v>
      </c>
      <c r="AB39">
        <f t="shared" si="10"/>
        <v>0</v>
      </c>
      <c r="AC39">
        <f t="shared" si="11"/>
        <v>0</v>
      </c>
      <c r="AD39" t="str">
        <f t="shared" si="12"/>
        <v>No</v>
      </c>
      <c r="AE39" t="str">
        <f t="shared" si="13"/>
        <v>No</v>
      </c>
    </row>
    <row r="40" spans="1:31" x14ac:dyDescent="0.25">
      <c r="A40" s="227"/>
      <c r="B40" s="228"/>
      <c r="C40" s="228"/>
      <c r="D40" s="229"/>
      <c r="E40" s="229"/>
      <c r="F40" s="229"/>
      <c r="G40" s="229"/>
      <c r="H40" s="230"/>
      <c r="I40" s="229"/>
      <c r="J40" s="220"/>
      <c r="K40" s="216"/>
      <c r="L40" s="216"/>
      <c r="M40" s="216"/>
      <c r="N40" s="217"/>
      <c r="O40" s="217"/>
      <c r="P40" s="213" t="str">
        <f t="shared" si="0"/>
        <v>No</v>
      </c>
      <c r="Q40" s="148" t="str">
        <f t="shared" si="1"/>
        <v>No</v>
      </c>
      <c r="R40" t="e">
        <f>VLOOKUP(F40, Property!A:B, 2,0)</f>
        <v>#N/A</v>
      </c>
      <c r="T40">
        <f t="shared" si="2"/>
        <v>0</v>
      </c>
      <c r="U40">
        <f t="shared" si="3"/>
        <v>0</v>
      </c>
      <c r="V40">
        <f t="shared" si="4"/>
        <v>0</v>
      </c>
      <c r="W40">
        <f t="shared" si="5"/>
        <v>0</v>
      </c>
      <c r="X40">
        <f t="shared" si="6"/>
        <v>0</v>
      </c>
      <c r="Y40">
        <f t="shared" si="7"/>
        <v>0</v>
      </c>
      <c r="Z40" s="150" t="str">
        <f t="shared" si="8"/>
        <v>No</v>
      </c>
      <c r="AA40" s="150" t="str">
        <f t="shared" si="9"/>
        <v>No</v>
      </c>
      <c r="AB40">
        <f t="shared" si="10"/>
        <v>0</v>
      </c>
      <c r="AC40">
        <f t="shared" si="11"/>
        <v>0</v>
      </c>
      <c r="AD40" t="str">
        <f t="shared" si="12"/>
        <v>No</v>
      </c>
      <c r="AE40" t="str">
        <f t="shared" si="13"/>
        <v>No</v>
      </c>
    </row>
    <row r="41" spans="1:31" x14ac:dyDescent="0.25">
      <c r="A41" s="227"/>
      <c r="B41" s="228"/>
      <c r="C41" s="228"/>
      <c r="D41" s="229"/>
      <c r="E41" s="229"/>
      <c r="F41" s="229"/>
      <c r="G41" s="229"/>
      <c r="H41" s="230"/>
      <c r="I41" s="229"/>
      <c r="J41" s="220"/>
      <c r="K41" s="216"/>
      <c r="L41" s="216"/>
      <c r="M41" s="216"/>
      <c r="N41" s="217"/>
      <c r="O41" s="217"/>
      <c r="P41" s="213" t="str">
        <f t="shared" si="0"/>
        <v>No</v>
      </c>
      <c r="Q41" s="148" t="str">
        <f t="shared" si="1"/>
        <v>No</v>
      </c>
      <c r="R41" t="e">
        <f>VLOOKUP(F41, Property!A:B, 2,0)</f>
        <v>#N/A</v>
      </c>
      <c r="T41">
        <f t="shared" si="2"/>
        <v>0</v>
      </c>
      <c r="U41">
        <f t="shared" si="3"/>
        <v>0</v>
      </c>
      <c r="V41">
        <f t="shared" si="4"/>
        <v>0</v>
      </c>
      <c r="W41">
        <f t="shared" si="5"/>
        <v>0</v>
      </c>
      <c r="X41">
        <f t="shared" si="6"/>
        <v>0</v>
      </c>
      <c r="Y41">
        <f t="shared" si="7"/>
        <v>0</v>
      </c>
      <c r="Z41" s="150" t="str">
        <f t="shared" si="8"/>
        <v>No</v>
      </c>
      <c r="AA41" s="150" t="str">
        <f t="shared" si="9"/>
        <v>No</v>
      </c>
      <c r="AB41">
        <f t="shared" si="10"/>
        <v>0</v>
      </c>
      <c r="AC41">
        <f t="shared" si="11"/>
        <v>0</v>
      </c>
      <c r="AD41" t="str">
        <f t="shared" si="12"/>
        <v>No</v>
      </c>
      <c r="AE41" t="str">
        <f t="shared" si="13"/>
        <v>No</v>
      </c>
    </row>
    <row r="42" spans="1:31" x14ac:dyDescent="0.25">
      <c r="A42" s="227"/>
      <c r="B42" s="228"/>
      <c r="C42" s="228"/>
      <c r="D42" s="229"/>
      <c r="E42" s="229"/>
      <c r="F42" s="229"/>
      <c r="G42" s="229"/>
      <c r="H42" s="229"/>
      <c r="I42" s="229"/>
      <c r="J42" s="220"/>
      <c r="K42" s="216"/>
      <c r="L42" s="216"/>
      <c r="M42" s="216"/>
      <c r="N42" s="217"/>
      <c r="O42" s="219"/>
      <c r="P42" s="213" t="str">
        <f t="shared" si="0"/>
        <v>No</v>
      </c>
      <c r="Q42" s="148" t="str">
        <f t="shared" si="1"/>
        <v>No</v>
      </c>
      <c r="R42" t="e">
        <f>VLOOKUP(F42, Property!A:B, 2,0)</f>
        <v>#N/A</v>
      </c>
      <c r="T42">
        <f t="shared" si="2"/>
        <v>0</v>
      </c>
      <c r="U42">
        <f t="shared" si="3"/>
        <v>0</v>
      </c>
      <c r="V42">
        <f t="shared" si="4"/>
        <v>0</v>
      </c>
      <c r="W42">
        <f t="shared" si="5"/>
        <v>0</v>
      </c>
      <c r="X42">
        <f t="shared" si="6"/>
        <v>0</v>
      </c>
      <c r="Y42">
        <f t="shared" si="7"/>
        <v>0</v>
      </c>
      <c r="Z42" s="150" t="str">
        <f t="shared" si="8"/>
        <v>No</v>
      </c>
      <c r="AA42" s="150" t="str">
        <f t="shared" si="9"/>
        <v>No</v>
      </c>
      <c r="AB42">
        <f t="shared" si="10"/>
        <v>0</v>
      </c>
      <c r="AC42">
        <f t="shared" si="11"/>
        <v>0</v>
      </c>
      <c r="AD42" t="str">
        <f t="shared" si="12"/>
        <v>No</v>
      </c>
      <c r="AE42" t="str">
        <f t="shared" si="13"/>
        <v>No</v>
      </c>
    </row>
    <row r="43" spans="1:31" x14ac:dyDescent="0.25">
      <c r="A43" s="227"/>
      <c r="B43" s="228"/>
      <c r="C43" s="228"/>
      <c r="D43" s="229"/>
      <c r="E43" s="229"/>
      <c r="F43" s="229"/>
      <c r="G43" s="229"/>
      <c r="H43" s="229"/>
      <c r="I43" s="229"/>
      <c r="J43" s="220"/>
      <c r="K43" s="216"/>
      <c r="L43" s="216"/>
      <c r="M43" s="217"/>
      <c r="N43" s="217"/>
      <c r="O43" s="217"/>
      <c r="P43" s="213" t="str">
        <f t="shared" si="0"/>
        <v>No</v>
      </c>
      <c r="Q43" s="148" t="str">
        <f t="shared" si="1"/>
        <v>No</v>
      </c>
      <c r="R43" t="e">
        <f>VLOOKUP(F43, Property!A:B, 2,0)</f>
        <v>#N/A</v>
      </c>
      <c r="T43">
        <f t="shared" si="2"/>
        <v>0</v>
      </c>
      <c r="U43">
        <f t="shared" si="3"/>
        <v>0</v>
      </c>
      <c r="V43">
        <f t="shared" si="4"/>
        <v>0</v>
      </c>
      <c r="W43">
        <f t="shared" si="5"/>
        <v>0</v>
      </c>
      <c r="X43">
        <f t="shared" si="6"/>
        <v>0</v>
      </c>
      <c r="Y43">
        <f t="shared" si="7"/>
        <v>0</v>
      </c>
      <c r="Z43" s="150" t="str">
        <f t="shared" si="8"/>
        <v>No</v>
      </c>
      <c r="AA43" s="150" t="str">
        <f t="shared" si="9"/>
        <v>No</v>
      </c>
      <c r="AB43">
        <f t="shared" si="10"/>
        <v>0</v>
      </c>
      <c r="AC43">
        <f t="shared" si="11"/>
        <v>0</v>
      </c>
      <c r="AD43" t="str">
        <f t="shared" si="12"/>
        <v>No</v>
      </c>
      <c r="AE43" t="str">
        <f t="shared" si="13"/>
        <v>No</v>
      </c>
    </row>
    <row r="44" spans="1:31" x14ac:dyDescent="0.25">
      <c r="A44" s="227"/>
      <c r="B44" s="228"/>
      <c r="C44" s="228"/>
      <c r="D44" s="229"/>
      <c r="E44" s="229"/>
      <c r="F44" s="229"/>
      <c r="G44" s="229"/>
      <c r="H44" s="229"/>
      <c r="I44" s="229"/>
      <c r="J44" s="220"/>
      <c r="K44" s="216"/>
      <c r="L44" s="216"/>
      <c r="M44" s="217"/>
      <c r="N44" s="217"/>
      <c r="O44" s="217"/>
      <c r="P44" s="213" t="str">
        <f t="shared" si="0"/>
        <v>No</v>
      </c>
      <c r="Q44" s="148" t="str">
        <f t="shared" si="1"/>
        <v>No</v>
      </c>
      <c r="R44" t="e">
        <f>VLOOKUP(F44, Property!A:B, 2,0)</f>
        <v>#N/A</v>
      </c>
      <c r="T44">
        <f t="shared" si="2"/>
        <v>0</v>
      </c>
      <c r="U44">
        <f t="shared" si="3"/>
        <v>0</v>
      </c>
      <c r="V44">
        <f t="shared" si="4"/>
        <v>0</v>
      </c>
      <c r="W44">
        <f t="shared" si="5"/>
        <v>0</v>
      </c>
      <c r="X44">
        <f t="shared" si="6"/>
        <v>0</v>
      </c>
      <c r="Y44">
        <f t="shared" si="7"/>
        <v>0</v>
      </c>
      <c r="Z44" s="150" t="str">
        <f t="shared" si="8"/>
        <v>No</v>
      </c>
      <c r="AA44" s="150" t="str">
        <f t="shared" si="9"/>
        <v>No</v>
      </c>
      <c r="AB44">
        <f t="shared" si="10"/>
        <v>0</v>
      </c>
      <c r="AC44">
        <f t="shared" si="11"/>
        <v>0</v>
      </c>
      <c r="AD44" t="str">
        <f t="shared" si="12"/>
        <v>No</v>
      </c>
      <c r="AE44" t="str">
        <f t="shared" si="13"/>
        <v>No</v>
      </c>
    </row>
    <row r="45" spans="1:31" x14ac:dyDescent="0.25">
      <c r="A45" s="227"/>
      <c r="B45" s="228"/>
      <c r="C45" s="228"/>
      <c r="D45" s="229"/>
      <c r="E45" s="229"/>
      <c r="F45" s="229"/>
      <c r="G45" s="229"/>
      <c r="H45" s="229"/>
      <c r="I45" s="229"/>
      <c r="J45" s="220"/>
      <c r="K45" s="216"/>
      <c r="L45" s="216"/>
      <c r="M45" s="217"/>
      <c r="N45" s="217"/>
      <c r="O45" s="217"/>
      <c r="P45" s="213" t="str">
        <f t="shared" si="0"/>
        <v>No</v>
      </c>
      <c r="Q45" s="148" t="str">
        <f t="shared" si="1"/>
        <v>No</v>
      </c>
      <c r="R45" t="e">
        <f>VLOOKUP(F45, Property!A:B, 2,0)</f>
        <v>#N/A</v>
      </c>
      <c r="T45">
        <f t="shared" si="2"/>
        <v>0</v>
      </c>
      <c r="U45">
        <f t="shared" si="3"/>
        <v>0</v>
      </c>
      <c r="V45">
        <f t="shared" si="4"/>
        <v>0</v>
      </c>
      <c r="W45">
        <f t="shared" si="5"/>
        <v>0</v>
      </c>
      <c r="X45">
        <f t="shared" si="6"/>
        <v>0</v>
      </c>
      <c r="Y45">
        <f t="shared" si="7"/>
        <v>0</v>
      </c>
      <c r="Z45" s="150" t="str">
        <f t="shared" si="8"/>
        <v>No</v>
      </c>
      <c r="AA45" s="150" t="str">
        <f t="shared" si="9"/>
        <v>No</v>
      </c>
      <c r="AB45">
        <f t="shared" si="10"/>
        <v>0</v>
      </c>
      <c r="AC45">
        <f t="shared" si="11"/>
        <v>0</v>
      </c>
      <c r="AD45" t="str">
        <f t="shared" si="12"/>
        <v>No</v>
      </c>
      <c r="AE45" t="str">
        <f t="shared" si="13"/>
        <v>No</v>
      </c>
    </row>
    <row r="46" spans="1:31" x14ac:dyDescent="0.25">
      <c r="A46" s="227"/>
      <c r="B46" s="228"/>
      <c r="C46" s="228"/>
      <c r="D46" s="229"/>
      <c r="E46" s="229"/>
      <c r="F46" s="229"/>
      <c r="G46" s="229"/>
      <c r="H46" s="229"/>
      <c r="I46" s="229"/>
      <c r="J46" s="220"/>
      <c r="K46" s="216"/>
      <c r="L46" s="216"/>
      <c r="M46" s="217"/>
      <c r="N46" s="217"/>
      <c r="O46" s="217"/>
      <c r="P46" s="213" t="str">
        <f t="shared" si="0"/>
        <v>No</v>
      </c>
      <c r="Q46" s="148" t="str">
        <f t="shared" si="1"/>
        <v>No</v>
      </c>
      <c r="R46" t="e">
        <f>VLOOKUP(F46, Property!A:B, 2,0)</f>
        <v>#N/A</v>
      </c>
      <c r="T46">
        <f t="shared" si="2"/>
        <v>0</v>
      </c>
      <c r="U46">
        <f t="shared" si="3"/>
        <v>0</v>
      </c>
      <c r="V46">
        <f t="shared" si="4"/>
        <v>0</v>
      </c>
      <c r="W46">
        <f t="shared" si="5"/>
        <v>0</v>
      </c>
      <c r="X46">
        <f t="shared" si="6"/>
        <v>0</v>
      </c>
      <c r="Y46">
        <f t="shared" si="7"/>
        <v>0</v>
      </c>
      <c r="Z46" s="150" t="str">
        <f t="shared" si="8"/>
        <v>No</v>
      </c>
      <c r="AA46" s="150" t="str">
        <f t="shared" si="9"/>
        <v>No</v>
      </c>
      <c r="AB46">
        <f t="shared" si="10"/>
        <v>0</v>
      </c>
      <c r="AC46">
        <f t="shared" si="11"/>
        <v>0</v>
      </c>
      <c r="AD46" t="str">
        <f t="shared" si="12"/>
        <v>No</v>
      </c>
      <c r="AE46" t="str">
        <f t="shared" si="13"/>
        <v>No</v>
      </c>
    </row>
    <row r="47" spans="1:31" x14ac:dyDescent="0.25">
      <c r="A47" s="227"/>
      <c r="B47" s="228"/>
      <c r="C47" s="228"/>
      <c r="D47" s="229"/>
      <c r="E47" s="229"/>
      <c r="F47" s="229"/>
      <c r="G47" s="229"/>
      <c r="H47" s="229"/>
      <c r="I47" s="229"/>
      <c r="J47" s="220"/>
      <c r="K47" s="216"/>
      <c r="L47" s="216"/>
      <c r="M47" s="217"/>
      <c r="N47" s="217"/>
      <c r="O47" s="217"/>
      <c r="P47" s="213" t="str">
        <f t="shared" si="0"/>
        <v>No</v>
      </c>
      <c r="Q47" s="148" t="str">
        <f t="shared" si="1"/>
        <v>No</v>
      </c>
      <c r="R47" t="e">
        <f>VLOOKUP(F47, Property!A:B, 2,0)</f>
        <v>#N/A</v>
      </c>
      <c r="T47">
        <f t="shared" si="2"/>
        <v>0</v>
      </c>
      <c r="U47">
        <f t="shared" si="3"/>
        <v>0</v>
      </c>
      <c r="V47">
        <f t="shared" si="4"/>
        <v>0</v>
      </c>
      <c r="W47">
        <f t="shared" si="5"/>
        <v>0</v>
      </c>
      <c r="X47">
        <f t="shared" si="6"/>
        <v>0</v>
      </c>
      <c r="Y47">
        <f t="shared" si="7"/>
        <v>0</v>
      </c>
      <c r="Z47" s="150" t="str">
        <f t="shared" si="8"/>
        <v>No</v>
      </c>
      <c r="AA47" s="150" t="str">
        <f t="shared" si="9"/>
        <v>No</v>
      </c>
      <c r="AB47">
        <f t="shared" si="10"/>
        <v>0</v>
      </c>
      <c r="AC47">
        <f t="shared" si="11"/>
        <v>0</v>
      </c>
      <c r="AD47" t="str">
        <f t="shared" si="12"/>
        <v>No</v>
      </c>
      <c r="AE47" t="str">
        <f t="shared" si="13"/>
        <v>No</v>
      </c>
    </row>
    <row r="48" spans="1:31" x14ac:dyDescent="0.25">
      <c r="A48" s="227"/>
      <c r="B48" s="228"/>
      <c r="C48" s="228"/>
      <c r="D48" s="229"/>
      <c r="E48" s="229"/>
      <c r="F48" s="229"/>
      <c r="G48" s="229"/>
      <c r="H48" s="230"/>
      <c r="I48" s="229"/>
      <c r="J48" s="220"/>
      <c r="K48" s="216"/>
      <c r="L48" s="216"/>
      <c r="M48" s="216"/>
      <c r="N48" s="217"/>
      <c r="O48" s="217"/>
      <c r="P48" s="213" t="str">
        <f t="shared" si="0"/>
        <v>No</v>
      </c>
      <c r="Q48" s="148" t="str">
        <f t="shared" si="1"/>
        <v>No</v>
      </c>
      <c r="R48" t="e">
        <f>VLOOKUP(F48, Property!A:B, 2,0)</f>
        <v>#N/A</v>
      </c>
      <c r="T48">
        <f t="shared" si="2"/>
        <v>0</v>
      </c>
      <c r="U48">
        <f t="shared" si="3"/>
        <v>0</v>
      </c>
      <c r="V48">
        <f t="shared" si="4"/>
        <v>0</v>
      </c>
      <c r="W48">
        <f t="shared" si="5"/>
        <v>0</v>
      </c>
      <c r="X48">
        <f t="shared" si="6"/>
        <v>0</v>
      </c>
      <c r="Y48">
        <f t="shared" si="7"/>
        <v>0</v>
      </c>
      <c r="Z48" s="150" t="str">
        <f t="shared" si="8"/>
        <v>No</v>
      </c>
      <c r="AA48" s="150" t="str">
        <f t="shared" si="9"/>
        <v>No</v>
      </c>
      <c r="AB48">
        <f t="shared" si="10"/>
        <v>0</v>
      </c>
      <c r="AC48">
        <f t="shared" si="11"/>
        <v>0</v>
      </c>
      <c r="AD48" t="str">
        <f t="shared" si="12"/>
        <v>No</v>
      </c>
      <c r="AE48" t="str">
        <f t="shared" si="13"/>
        <v>No</v>
      </c>
    </row>
    <row r="49" spans="1:31" x14ac:dyDescent="0.25">
      <c r="A49" s="227"/>
      <c r="B49" s="228"/>
      <c r="C49" s="228"/>
      <c r="D49" s="229"/>
      <c r="E49" s="229"/>
      <c r="F49" s="229"/>
      <c r="G49" s="229"/>
      <c r="H49" s="230"/>
      <c r="I49" s="229"/>
      <c r="J49" s="220"/>
      <c r="K49" s="216"/>
      <c r="L49" s="216"/>
      <c r="M49" s="216"/>
      <c r="N49" s="217"/>
      <c r="O49" s="217"/>
      <c r="P49" s="213" t="str">
        <f t="shared" si="0"/>
        <v>No</v>
      </c>
      <c r="Q49" s="148" t="str">
        <f t="shared" si="1"/>
        <v>No</v>
      </c>
      <c r="R49" t="e">
        <f>VLOOKUP(F49, Property!A:B, 2,0)</f>
        <v>#N/A</v>
      </c>
      <c r="T49">
        <f t="shared" si="2"/>
        <v>0</v>
      </c>
      <c r="U49">
        <f t="shared" si="3"/>
        <v>0</v>
      </c>
      <c r="V49">
        <f t="shared" si="4"/>
        <v>0</v>
      </c>
      <c r="W49">
        <f t="shared" si="5"/>
        <v>0</v>
      </c>
      <c r="X49">
        <f t="shared" si="6"/>
        <v>0</v>
      </c>
      <c r="Y49">
        <f t="shared" si="7"/>
        <v>0</v>
      </c>
      <c r="Z49" s="150" t="str">
        <f t="shared" si="8"/>
        <v>No</v>
      </c>
      <c r="AA49" s="150" t="str">
        <f t="shared" si="9"/>
        <v>No</v>
      </c>
      <c r="AB49">
        <f t="shared" si="10"/>
        <v>0</v>
      </c>
      <c r="AC49">
        <f t="shared" si="11"/>
        <v>0</v>
      </c>
      <c r="AD49" t="str">
        <f t="shared" si="12"/>
        <v>No</v>
      </c>
      <c r="AE49" t="str">
        <f t="shared" si="13"/>
        <v>No</v>
      </c>
    </row>
    <row r="50" spans="1:31" x14ac:dyDescent="0.25">
      <c r="A50" s="227"/>
      <c r="B50" s="228"/>
      <c r="C50" s="228"/>
      <c r="D50" s="229"/>
      <c r="E50" s="229"/>
      <c r="F50" s="229"/>
      <c r="G50" s="229"/>
      <c r="H50" s="229"/>
      <c r="I50" s="229"/>
      <c r="J50" s="220"/>
      <c r="K50" s="216"/>
      <c r="L50" s="216"/>
      <c r="M50" s="217"/>
      <c r="N50" s="217"/>
      <c r="O50" s="217"/>
      <c r="P50" s="213" t="str">
        <f t="shared" si="0"/>
        <v>No</v>
      </c>
      <c r="Q50" s="148" t="str">
        <f t="shared" si="1"/>
        <v>No</v>
      </c>
      <c r="R50" t="e">
        <f>VLOOKUP(F50, Property!A:B, 2,0)</f>
        <v>#N/A</v>
      </c>
      <c r="T50">
        <f t="shared" si="2"/>
        <v>0</v>
      </c>
      <c r="U50">
        <f t="shared" si="3"/>
        <v>0</v>
      </c>
      <c r="V50">
        <f t="shared" si="4"/>
        <v>0</v>
      </c>
      <c r="W50">
        <f t="shared" si="5"/>
        <v>0</v>
      </c>
      <c r="X50">
        <f t="shared" si="6"/>
        <v>0</v>
      </c>
      <c r="Y50">
        <f t="shared" si="7"/>
        <v>0</v>
      </c>
      <c r="Z50" s="150" t="str">
        <f t="shared" si="8"/>
        <v>No</v>
      </c>
      <c r="AA50" s="150" t="str">
        <f t="shared" si="9"/>
        <v>No</v>
      </c>
      <c r="AB50">
        <f t="shared" si="10"/>
        <v>0</v>
      </c>
      <c r="AC50">
        <f t="shared" si="11"/>
        <v>0</v>
      </c>
      <c r="AD50" t="str">
        <f t="shared" si="12"/>
        <v>No</v>
      </c>
      <c r="AE50" t="str">
        <f t="shared" si="13"/>
        <v>No</v>
      </c>
    </row>
    <row r="51" spans="1:31" x14ac:dyDescent="0.25">
      <c r="A51" s="227"/>
      <c r="B51" s="228"/>
      <c r="C51" s="228"/>
      <c r="D51" s="229"/>
      <c r="E51" s="229"/>
      <c r="F51" s="229"/>
      <c r="G51" s="229"/>
      <c r="H51" s="229"/>
      <c r="I51" s="229"/>
      <c r="J51" s="220"/>
      <c r="K51" s="216"/>
      <c r="L51" s="216"/>
      <c r="M51" s="217"/>
      <c r="N51" s="217"/>
      <c r="O51" s="217"/>
      <c r="P51" s="213" t="str">
        <f t="shared" si="0"/>
        <v>No</v>
      </c>
      <c r="Q51" s="148" t="str">
        <f t="shared" si="1"/>
        <v>No</v>
      </c>
      <c r="R51" t="e">
        <f>VLOOKUP(F51, Property!A:B, 2,0)</f>
        <v>#N/A</v>
      </c>
      <c r="T51">
        <f t="shared" si="2"/>
        <v>0</v>
      </c>
      <c r="U51">
        <f t="shared" si="3"/>
        <v>0</v>
      </c>
      <c r="V51">
        <f t="shared" si="4"/>
        <v>0</v>
      </c>
      <c r="W51">
        <f t="shared" si="5"/>
        <v>0</v>
      </c>
      <c r="X51">
        <f t="shared" si="6"/>
        <v>0</v>
      </c>
      <c r="Y51">
        <f t="shared" si="7"/>
        <v>0</v>
      </c>
      <c r="Z51" s="150" t="str">
        <f t="shared" si="8"/>
        <v>No</v>
      </c>
      <c r="AA51" s="150" t="str">
        <f t="shared" si="9"/>
        <v>No</v>
      </c>
      <c r="AB51">
        <f t="shared" si="10"/>
        <v>0</v>
      </c>
      <c r="AC51">
        <f t="shared" si="11"/>
        <v>0</v>
      </c>
      <c r="AD51" t="str">
        <f t="shared" si="12"/>
        <v>No</v>
      </c>
      <c r="AE51" t="str">
        <f t="shared" si="13"/>
        <v>No</v>
      </c>
    </row>
    <row r="52" spans="1:31" x14ac:dyDescent="0.25">
      <c r="A52" s="227"/>
      <c r="B52" s="228"/>
      <c r="C52" s="228"/>
      <c r="D52" s="229"/>
      <c r="E52" s="229"/>
      <c r="F52" s="229"/>
      <c r="G52" s="229"/>
      <c r="H52" s="229"/>
      <c r="I52" s="229"/>
      <c r="J52" s="220"/>
      <c r="K52" s="216"/>
      <c r="L52" s="216"/>
      <c r="M52" s="217"/>
      <c r="N52" s="217"/>
      <c r="O52" s="217"/>
      <c r="P52" s="213" t="str">
        <f t="shared" si="0"/>
        <v>No</v>
      </c>
      <c r="Q52" s="148" t="str">
        <f t="shared" si="1"/>
        <v>No</v>
      </c>
      <c r="R52" t="e">
        <f>VLOOKUP(F52, Property!A:B, 2,0)</f>
        <v>#N/A</v>
      </c>
      <c r="T52">
        <f t="shared" si="2"/>
        <v>0</v>
      </c>
      <c r="U52">
        <f t="shared" si="3"/>
        <v>0</v>
      </c>
      <c r="V52">
        <f t="shared" si="4"/>
        <v>0</v>
      </c>
      <c r="W52">
        <f t="shared" si="5"/>
        <v>0</v>
      </c>
      <c r="X52">
        <f t="shared" si="6"/>
        <v>0</v>
      </c>
      <c r="Y52">
        <f t="shared" si="7"/>
        <v>0</v>
      </c>
      <c r="Z52" s="150" t="str">
        <f t="shared" si="8"/>
        <v>No</v>
      </c>
      <c r="AA52" s="150" t="str">
        <f t="shared" si="9"/>
        <v>No</v>
      </c>
      <c r="AB52">
        <f t="shared" si="10"/>
        <v>0</v>
      </c>
      <c r="AC52">
        <f t="shared" si="11"/>
        <v>0</v>
      </c>
      <c r="AD52" t="str">
        <f t="shared" si="12"/>
        <v>No</v>
      </c>
      <c r="AE52" t="str">
        <f t="shared" si="13"/>
        <v>No</v>
      </c>
    </row>
    <row r="53" spans="1:31" x14ac:dyDescent="0.25">
      <c r="A53" s="227"/>
      <c r="B53" s="228"/>
      <c r="C53" s="228"/>
      <c r="D53" s="229"/>
      <c r="E53" s="229"/>
      <c r="F53" s="229"/>
      <c r="G53" s="229"/>
      <c r="H53" s="229"/>
      <c r="I53" s="229"/>
      <c r="J53" s="220"/>
      <c r="K53" s="216"/>
      <c r="L53" s="216"/>
      <c r="M53" s="217"/>
      <c r="N53" s="217"/>
      <c r="O53" s="217"/>
      <c r="P53" s="213" t="str">
        <f t="shared" si="0"/>
        <v>No</v>
      </c>
      <c r="Q53" s="148" t="str">
        <f t="shared" si="1"/>
        <v>No</v>
      </c>
      <c r="R53" t="e">
        <f>VLOOKUP(F53, Property!A:B, 2,0)</f>
        <v>#N/A</v>
      </c>
      <c r="T53">
        <f t="shared" si="2"/>
        <v>0</v>
      </c>
      <c r="U53">
        <f t="shared" si="3"/>
        <v>0</v>
      </c>
      <c r="V53">
        <f t="shared" si="4"/>
        <v>0</v>
      </c>
      <c r="W53">
        <f t="shared" si="5"/>
        <v>0</v>
      </c>
      <c r="X53">
        <f t="shared" si="6"/>
        <v>0</v>
      </c>
      <c r="Y53">
        <f t="shared" si="7"/>
        <v>0</v>
      </c>
      <c r="Z53" s="150" t="str">
        <f t="shared" si="8"/>
        <v>No</v>
      </c>
      <c r="AA53" s="150" t="str">
        <f t="shared" si="9"/>
        <v>No</v>
      </c>
      <c r="AB53">
        <f t="shared" si="10"/>
        <v>0</v>
      </c>
      <c r="AC53">
        <f t="shared" si="11"/>
        <v>0</v>
      </c>
      <c r="AD53" t="str">
        <f t="shared" si="12"/>
        <v>No</v>
      </c>
      <c r="AE53" t="str">
        <f t="shared" si="13"/>
        <v>No</v>
      </c>
    </row>
    <row r="54" spans="1:31" x14ac:dyDescent="0.25">
      <c r="A54" s="227"/>
      <c r="B54" s="228"/>
      <c r="C54" s="228"/>
      <c r="D54" s="229"/>
      <c r="E54" s="229"/>
      <c r="F54" s="229"/>
      <c r="G54" s="229"/>
      <c r="H54" s="230"/>
      <c r="I54" s="229"/>
      <c r="J54" s="220"/>
      <c r="K54" s="216"/>
      <c r="L54" s="216"/>
      <c r="M54" s="217"/>
      <c r="N54" s="217"/>
      <c r="O54" s="217"/>
      <c r="P54" s="213" t="str">
        <f t="shared" si="0"/>
        <v>No</v>
      </c>
      <c r="Q54" s="148" t="str">
        <f t="shared" si="1"/>
        <v>No</v>
      </c>
      <c r="R54" t="e">
        <f>VLOOKUP(F54, Property!A:B, 2,0)</f>
        <v>#N/A</v>
      </c>
      <c r="T54">
        <f t="shared" si="2"/>
        <v>0</v>
      </c>
      <c r="U54">
        <f t="shared" si="3"/>
        <v>0</v>
      </c>
      <c r="V54">
        <f t="shared" si="4"/>
        <v>0</v>
      </c>
      <c r="W54">
        <f t="shared" si="5"/>
        <v>0</v>
      </c>
      <c r="X54">
        <f t="shared" si="6"/>
        <v>0</v>
      </c>
      <c r="Y54">
        <f t="shared" si="7"/>
        <v>0</v>
      </c>
      <c r="Z54" s="150" t="str">
        <f t="shared" si="8"/>
        <v>No</v>
      </c>
      <c r="AA54" s="150" t="str">
        <f t="shared" si="9"/>
        <v>No</v>
      </c>
      <c r="AB54">
        <f t="shared" si="10"/>
        <v>0</v>
      </c>
      <c r="AC54">
        <f t="shared" si="11"/>
        <v>0</v>
      </c>
      <c r="AD54" t="str">
        <f t="shared" si="12"/>
        <v>No</v>
      </c>
      <c r="AE54" t="str">
        <f t="shared" si="13"/>
        <v>No</v>
      </c>
    </row>
    <row r="55" spans="1:31" x14ac:dyDescent="0.25">
      <c r="A55" s="227"/>
      <c r="B55" s="228"/>
      <c r="C55" s="228"/>
      <c r="D55" s="229"/>
      <c r="E55" s="229"/>
      <c r="F55" s="229"/>
      <c r="G55" s="229"/>
      <c r="H55" s="230"/>
      <c r="I55" s="229"/>
      <c r="J55" s="220"/>
      <c r="K55" s="216"/>
      <c r="L55" s="216"/>
      <c r="M55" s="217"/>
      <c r="N55" s="217"/>
      <c r="O55" s="217"/>
      <c r="P55" s="213" t="str">
        <f t="shared" si="0"/>
        <v>No</v>
      </c>
      <c r="Q55" s="148" t="str">
        <f t="shared" si="1"/>
        <v>No</v>
      </c>
      <c r="R55" t="e">
        <f>VLOOKUP(F55, Property!A:B, 2,0)</f>
        <v>#N/A</v>
      </c>
      <c r="T55">
        <f t="shared" si="2"/>
        <v>0</v>
      </c>
      <c r="U55">
        <f t="shared" si="3"/>
        <v>0</v>
      </c>
      <c r="V55">
        <f t="shared" si="4"/>
        <v>0</v>
      </c>
      <c r="W55">
        <f t="shared" si="5"/>
        <v>0</v>
      </c>
      <c r="X55">
        <f t="shared" si="6"/>
        <v>0</v>
      </c>
      <c r="Y55">
        <f t="shared" si="7"/>
        <v>0</v>
      </c>
      <c r="Z55" s="150" t="str">
        <f t="shared" si="8"/>
        <v>No</v>
      </c>
      <c r="AA55" s="150" t="str">
        <f t="shared" si="9"/>
        <v>No</v>
      </c>
      <c r="AB55">
        <f t="shared" si="10"/>
        <v>0</v>
      </c>
      <c r="AC55">
        <f t="shared" si="11"/>
        <v>0</v>
      </c>
      <c r="AD55" t="str">
        <f t="shared" si="12"/>
        <v>No</v>
      </c>
      <c r="AE55" t="str">
        <f t="shared" si="13"/>
        <v>No</v>
      </c>
    </row>
    <row r="56" spans="1:31" x14ac:dyDescent="0.25">
      <c r="A56" s="227"/>
      <c r="B56" s="228"/>
      <c r="C56" s="228"/>
      <c r="D56" s="229"/>
      <c r="E56" s="229"/>
      <c r="F56" s="229"/>
      <c r="G56" s="229"/>
      <c r="H56" s="230"/>
      <c r="I56" s="229"/>
      <c r="J56" s="220"/>
      <c r="K56" s="216"/>
      <c r="L56" s="216"/>
      <c r="M56" s="217"/>
      <c r="N56" s="217"/>
      <c r="O56" s="217"/>
      <c r="P56" s="213" t="str">
        <f t="shared" si="0"/>
        <v>No</v>
      </c>
      <c r="Q56" s="148" t="str">
        <f t="shared" si="1"/>
        <v>No</v>
      </c>
      <c r="R56" t="e">
        <f>VLOOKUP(F56, Property!A:B, 2,0)</f>
        <v>#N/A</v>
      </c>
      <c r="T56">
        <f t="shared" si="2"/>
        <v>0</v>
      </c>
      <c r="U56">
        <f t="shared" si="3"/>
        <v>0</v>
      </c>
      <c r="V56">
        <f t="shared" si="4"/>
        <v>0</v>
      </c>
      <c r="W56">
        <f t="shared" si="5"/>
        <v>0</v>
      </c>
      <c r="X56">
        <f t="shared" si="6"/>
        <v>0</v>
      </c>
      <c r="Y56">
        <f t="shared" si="7"/>
        <v>0</v>
      </c>
      <c r="Z56" s="150" t="str">
        <f t="shared" si="8"/>
        <v>No</v>
      </c>
      <c r="AA56" s="150" t="str">
        <f t="shared" si="9"/>
        <v>No</v>
      </c>
      <c r="AB56">
        <f t="shared" si="10"/>
        <v>0</v>
      </c>
      <c r="AC56">
        <f t="shared" si="11"/>
        <v>0</v>
      </c>
      <c r="AD56" t="str">
        <f t="shared" si="12"/>
        <v>No</v>
      </c>
      <c r="AE56" t="str">
        <f t="shared" si="13"/>
        <v>No</v>
      </c>
    </row>
    <row r="57" spans="1:31" x14ac:dyDescent="0.25">
      <c r="A57" s="227"/>
      <c r="B57" s="228"/>
      <c r="C57" s="228"/>
      <c r="D57" s="229"/>
      <c r="E57" s="229"/>
      <c r="F57" s="229"/>
      <c r="G57" s="229"/>
      <c r="H57" s="229"/>
      <c r="I57" s="229"/>
      <c r="J57" s="220"/>
      <c r="K57" s="216"/>
      <c r="L57" s="216"/>
      <c r="M57" s="217"/>
      <c r="N57" s="217"/>
      <c r="O57" s="217"/>
      <c r="P57" s="213" t="str">
        <f t="shared" si="0"/>
        <v>No</v>
      </c>
      <c r="Q57" s="148" t="str">
        <f t="shared" si="1"/>
        <v>No</v>
      </c>
      <c r="R57" t="e">
        <f>VLOOKUP(F57, Property!A:B, 2,0)</f>
        <v>#N/A</v>
      </c>
      <c r="T57">
        <f t="shared" si="2"/>
        <v>0</v>
      </c>
      <c r="U57">
        <f t="shared" si="3"/>
        <v>0</v>
      </c>
      <c r="V57">
        <f t="shared" si="4"/>
        <v>0</v>
      </c>
      <c r="W57">
        <f t="shared" si="5"/>
        <v>0</v>
      </c>
      <c r="X57">
        <f t="shared" si="6"/>
        <v>0</v>
      </c>
      <c r="Y57">
        <f t="shared" si="7"/>
        <v>0</v>
      </c>
      <c r="Z57" s="150" t="str">
        <f t="shared" si="8"/>
        <v>No</v>
      </c>
      <c r="AA57" s="150" t="str">
        <f t="shared" si="9"/>
        <v>No</v>
      </c>
      <c r="AB57">
        <f t="shared" si="10"/>
        <v>0</v>
      </c>
      <c r="AC57">
        <f t="shared" si="11"/>
        <v>0</v>
      </c>
      <c r="AD57" t="str">
        <f t="shared" si="12"/>
        <v>No</v>
      </c>
      <c r="AE57" t="str">
        <f t="shared" si="13"/>
        <v>No</v>
      </c>
    </row>
    <row r="58" spans="1:31" x14ac:dyDescent="0.25">
      <c r="A58" s="227"/>
      <c r="B58" s="228"/>
      <c r="C58" s="228"/>
      <c r="D58" s="229"/>
      <c r="E58" s="229"/>
      <c r="F58" s="229"/>
      <c r="G58" s="229"/>
      <c r="H58" s="230"/>
      <c r="I58" s="229"/>
      <c r="J58" s="220"/>
      <c r="K58" s="216"/>
      <c r="L58" s="216"/>
      <c r="M58" s="217"/>
      <c r="N58" s="217"/>
      <c r="O58" s="217"/>
      <c r="P58" s="213" t="str">
        <f t="shared" si="0"/>
        <v>No</v>
      </c>
      <c r="Q58" s="148" t="str">
        <f t="shared" si="1"/>
        <v>No</v>
      </c>
      <c r="R58" t="e">
        <f>VLOOKUP(F58, Property!A:B, 2,0)</f>
        <v>#N/A</v>
      </c>
      <c r="T58">
        <f t="shared" si="2"/>
        <v>0</v>
      </c>
      <c r="U58">
        <f t="shared" si="3"/>
        <v>0</v>
      </c>
      <c r="V58">
        <f t="shared" si="4"/>
        <v>0</v>
      </c>
      <c r="W58">
        <f t="shared" si="5"/>
        <v>0</v>
      </c>
      <c r="X58">
        <f t="shared" si="6"/>
        <v>0</v>
      </c>
      <c r="Y58">
        <f t="shared" si="7"/>
        <v>0</v>
      </c>
      <c r="Z58" s="150" t="str">
        <f t="shared" si="8"/>
        <v>No</v>
      </c>
      <c r="AA58" s="150" t="str">
        <f t="shared" si="9"/>
        <v>No</v>
      </c>
      <c r="AB58">
        <f t="shared" si="10"/>
        <v>0</v>
      </c>
      <c r="AC58">
        <f t="shared" si="11"/>
        <v>0</v>
      </c>
      <c r="AD58" t="str">
        <f t="shared" si="12"/>
        <v>No</v>
      </c>
      <c r="AE58" t="str">
        <f t="shared" si="13"/>
        <v>No</v>
      </c>
    </row>
    <row r="59" spans="1:31" x14ac:dyDescent="0.25">
      <c r="A59" s="227"/>
      <c r="B59" s="228"/>
      <c r="C59" s="228"/>
      <c r="D59" s="229"/>
      <c r="E59" s="229"/>
      <c r="F59" s="229"/>
      <c r="G59" s="229"/>
      <c r="H59" s="230"/>
      <c r="I59" s="229"/>
      <c r="J59" s="220"/>
      <c r="K59" s="216"/>
      <c r="L59" s="216"/>
      <c r="M59" s="217"/>
      <c r="N59" s="217"/>
      <c r="O59" s="217"/>
      <c r="P59" s="213" t="str">
        <f t="shared" si="0"/>
        <v>No</v>
      </c>
      <c r="Q59" s="148" t="str">
        <f t="shared" si="1"/>
        <v>No</v>
      </c>
      <c r="R59" t="e">
        <f>VLOOKUP(F59, Property!A:B, 2,0)</f>
        <v>#N/A</v>
      </c>
      <c r="T59">
        <f t="shared" si="2"/>
        <v>0</v>
      </c>
      <c r="U59">
        <f t="shared" si="3"/>
        <v>0</v>
      </c>
      <c r="V59">
        <f t="shared" si="4"/>
        <v>0</v>
      </c>
      <c r="W59">
        <f t="shared" si="5"/>
        <v>0</v>
      </c>
      <c r="X59">
        <f t="shared" si="6"/>
        <v>0</v>
      </c>
      <c r="Y59">
        <f t="shared" si="7"/>
        <v>0</v>
      </c>
      <c r="Z59" s="150" t="str">
        <f t="shared" si="8"/>
        <v>No</v>
      </c>
      <c r="AA59" s="150" t="str">
        <f t="shared" si="9"/>
        <v>No</v>
      </c>
      <c r="AB59">
        <f t="shared" si="10"/>
        <v>0</v>
      </c>
      <c r="AC59">
        <f t="shared" si="11"/>
        <v>0</v>
      </c>
      <c r="AD59" t="str">
        <f t="shared" si="12"/>
        <v>No</v>
      </c>
      <c r="AE59" t="str">
        <f t="shared" si="13"/>
        <v>No</v>
      </c>
    </row>
    <row r="60" spans="1:31" x14ac:dyDescent="0.25">
      <c r="A60" s="227"/>
      <c r="B60" s="228"/>
      <c r="C60" s="228"/>
      <c r="D60" s="229"/>
      <c r="E60" s="229"/>
      <c r="F60" s="229"/>
      <c r="G60" s="229"/>
      <c r="H60" s="230"/>
      <c r="I60" s="229"/>
      <c r="J60" s="220"/>
      <c r="K60" s="216"/>
      <c r="L60" s="216"/>
      <c r="M60" s="217"/>
      <c r="N60" s="217"/>
      <c r="O60" s="217"/>
      <c r="P60" s="213" t="str">
        <f t="shared" si="0"/>
        <v>No</v>
      </c>
      <c r="Q60" s="148" t="str">
        <f t="shared" si="1"/>
        <v>No</v>
      </c>
      <c r="R60" t="e">
        <f>VLOOKUP(F60, Property!A:B, 2,0)</f>
        <v>#N/A</v>
      </c>
      <c r="T60">
        <f t="shared" si="2"/>
        <v>0</v>
      </c>
      <c r="U60">
        <f t="shared" si="3"/>
        <v>0</v>
      </c>
      <c r="V60">
        <f t="shared" si="4"/>
        <v>0</v>
      </c>
      <c r="W60">
        <f t="shared" si="5"/>
        <v>0</v>
      </c>
      <c r="X60">
        <f t="shared" si="6"/>
        <v>0</v>
      </c>
      <c r="Y60">
        <f t="shared" si="7"/>
        <v>0</v>
      </c>
      <c r="Z60" s="150" t="str">
        <f t="shared" si="8"/>
        <v>No</v>
      </c>
      <c r="AA60" s="150" t="str">
        <f t="shared" si="9"/>
        <v>No</v>
      </c>
      <c r="AB60">
        <f t="shared" si="10"/>
        <v>0</v>
      </c>
      <c r="AC60">
        <f t="shared" si="11"/>
        <v>0</v>
      </c>
      <c r="AD60" t="str">
        <f t="shared" si="12"/>
        <v>No</v>
      </c>
      <c r="AE60" t="str">
        <f t="shared" si="13"/>
        <v>No</v>
      </c>
    </row>
    <row r="61" spans="1:31" x14ac:dyDescent="0.25">
      <c r="A61" s="227"/>
      <c r="B61" s="228"/>
      <c r="C61" s="228"/>
      <c r="D61" s="229"/>
      <c r="E61" s="229"/>
      <c r="F61" s="229"/>
      <c r="G61" s="229"/>
      <c r="H61" s="230"/>
      <c r="I61" s="229"/>
      <c r="J61" s="220"/>
      <c r="K61" s="216"/>
      <c r="L61" s="216"/>
      <c r="M61" s="216"/>
      <c r="N61" s="217"/>
      <c r="O61" s="217"/>
      <c r="P61" s="213" t="str">
        <f t="shared" si="0"/>
        <v>No</v>
      </c>
      <c r="Q61" s="148" t="str">
        <f t="shared" si="1"/>
        <v>No</v>
      </c>
      <c r="R61" t="e">
        <f>VLOOKUP(F61, Property!A:B, 2,0)</f>
        <v>#N/A</v>
      </c>
      <c r="T61">
        <f t="shared" si="2"/>
        <v>0</v>
      </c>
      <c r="U61">
        <f t="shared" si="3"/>
        <v>0</v>
      </c>
      <c r="V61">
        <f t="shared" si="4"/>
        <v>0</v>
      </c>
      <c r="W61">
        <f t="shared" si="5"/>
        <v>0</v>
      </c>
      <c r="X61">
        <f t="shared" si="6"/>
        <v>0</v>
      </c>
      <c r="Y61">
        <f t="shared" si="7"/>
        <v>0</v>
      </c>
      <c r="Z61" s="150" t="str">
        <f t="shared" si="8"/>
        <v>No</v>
      </c>
      <c r="AA61" s="150" t="str">
        <f t="shared" si="9"/>
        <v>No</v>
      </c>
      <c r="AB61">
        <f t="shared" si="10"/>
        <v>0</v>
      </c>
      <c r="AC61">
        <f t="shared" si="11"/>
        <v>0</v>
      </c>
      <c r="AD61" t="str">
        <f t="shared" si="12"/>
        <v>No</v>
      </c>
      <c r="AE61" t="str">
        <f t="shared" si="13"/>
        <v>No</v>
      </c>
    </row>
    <row r="62" spans="1:31" x14ac:dyDescent="0.25">
      <c r="A62" s="227"/>
      <c r="B62" s="228"/>
      <c r="C62" s="228"/>
      <c r="D62" s="229"/>
      <c r="E62" s="229"/>
      <c r="F62" s="229"/>
      <c r="G62" s="229"/>
      <c r="H62" s="230"/>
      <c r="I62" s="229"/>
      <c r="J62" s="220"/>
      <c r="K62" s="216"/>
      <c r="L62" s="216"/>
      <c r="M62" s="217"/>
      <c r="N62" s="217"/>
      <c r="O62" s="217"/>
      <c r="P62" s="213" t="str">
        <f t="shared" si="0"/>
        <v>No</v>
      </c>
      <c r="Q62" s="148" t="str">
        <f t="shared" si="1"/>
        <v>No</v>
      </c>
      <c r="R62" t="e">
        <f>VLOOKUP(F62, Property!A:B, 2,0)</f>
        <v>#N/A</v>
      </c>
      <c r="T62">
        <f t="shared" si="2"/>
        <v>0</v>
      </c>
      <c r="U62">
        <f t="shared" si="3"/>
        <v>0</v>
      </c>
      <c r="V62">
        <f t="shared" si="4"/>
        <v>0</v>
      </c>
      <c r="W62">
        <f t="shared" si="5"/>
        <v>0</v>
      </c>
      <c r="X62">
        <f t="shared" si="6"/>
        <v>0</v>
      </c>
      <c r="Y62">
        <f t="shared" si="7"/>
        <v>0</v>
      </c>
      <c r="Z62" s="150" t="str">
        <f t="shared" si="8"/>
        <v>No</v>
      </c>
      <c r="AA62" s="150" t="str">
        <f t="shared" si="9"/>
        <v>No</v>
      </c>
      <c r="AB62">
        <f t="shared" si="10"/>
        <v>0</v>
      </c>
      <c r="AC62">
        <f t="shared" si="11"/>
        <v>0</v>
      </c>
      <c r="AD62" t="str">
        <f t="shared" si="12"/>
        <v>No</v>
      </c>
      <c r="AE62" t="str">
        <f t="shared" si="13"/>
        <v>No</v>
      </c>
    </row>
    <row r="63" spans="1:31" x14ac:dyDescent="0.25">
      <c r="A63" s="227"/>
      <c r="B63" s="228"/>
      <c r="C63" s="228"/>
      <c r="D63" s="229"/>
      <c r="E63" s="229"/>
      <c r="F63" s="229"/>
      <c r="G63" s="229"/>
      <c r="H63" s="229"/>
      <c r="I63" s="229"/>
      <c r="J63" s="220"/>
      <c r="K63" s="216"/>
      <c r="L63" s="216"/>
      <c r="M63" s="217"/>
      <c r="N63" s="217"/>
      <c r="O63" s="217"/>
      <c r="P63" s="213" t="str">
        <f t="shared" si="0"/>
        <v>No</v>
      </c>
      <c r="Q63" s="148" t="str">
        <f t="shared" si="1"/>
        <v>No</v>
      </c>
      <c r="R63" t="e">
        <f>VLOOKUP(F63, Property!A:B, 2,0)</f>
        <v>#N/A</v>
      </c>
      <c r="T63">
        <f t="shared" si="2"/>
        <v>0</v>
      </c>
      <c r="U63">
        <f t="shared" si="3"/>
        <v>0</v>
      </c>
      <c r="V63">
        <f t="shared" si="4"/>
        <v>0</v>
      </c>
      <c r="W63">
        <f t="shared" si="5"/>
        <v>0</v>
      </c>
      <c r="X63">
        <f t="shared" si="6"/>
        <v>0</v>
      </c>
      <c r="Y63">
        <f t="shared" si="7"/>
        <v>0</v>
      </c>
      <c r="Z63" s="150" t="str">
        <f t="shared" si="8"/>
        <v>No</v>
      </c>
      <c r="AA63" s="150" t="str">
        <f t="shared" si="9"/>
        <v>No</v>
      </c>
      <c r="AB63">
        <f t="shared" si="10"/>
        <v>0</v>
      </c>
      <c r="AC63">
        <f t="shared" si="11"/>
        <v>0</v>
      </c>
      <c r="AD63" t="str">
        <f t="shared" si="12"/>
        <v>No</v>
      </c>
      <c r="AE63" t="str">
        <f t="shared" si="13"/>
        <v>No</v>
      </c>
    </row>
    <row r="64" spans="1:31" x14ac:dyDescent="0.25">
      <c r="A64" s="227"/>
      <c r="B64" s="228"/>
      <c r="C64" s="228"/>
      <c r="D64" s="229"/>
      <c r="E64" s="229"/>
      <c r="F64" s="229"/>
      <c r="G64" s="229"/>
      <c r="H64" s="230"/>
      <c r="I64" s="229"/>
      <c r="J64" s="220"/>
      <c r="K64" s="216"/>
      <c r="L64" s="216"/>
      <c r="M64" s="217"/>
      <c r="N64" s="217"/>
      <c r="O64" s="217"/>
      <c r="P64" s="213" t="str">
        <f t="shared" si="0"/>
        <v>No</v>
      </c>
      <c r="Q64" s="148" t="str">
        <f t="shared" si="1"/>
        <v>No</v>
      </c>
      <c r="R64" t="e">
        <f>VLOOKUP(F64, Property!A:B, 2,0)</f>
        <v>#N/A</v>
      </c>
      <c r="T64">
        <f t="shared" si="2"/>
        <v>0</v>
      </c>
      <c r="U64">
        <f t="shared" si="3"/>
        <v>0</v>
      </c>
      <c r="V64">
        <f t="shared" si="4"/>
        <v>0</v>
      </c>
      <c r="W64">
        <f t="shared" si="5"/>
        <v>0</v>
      </c>
      <c r="X64">
        <f t="shared" si="6"/>
        <v>0</v>
      </c>
      <c r="Y64">
        <f t="shared" si="7"/>
        <v>0</v>
      </c>
      <c r="Z64" s="150" t="str">
        <f t="shared" si="8"/>
        <v>No</v>
      </c>
      <c r="AA64" s="150" t="str">
        <f t="shared" si="9"/>
        <v>No</v>
      </c>
      <c r="AB64">
        <f t="shared" si="10"/>
        <v>0</v>
      </c>
      <c r="AC64">
        <f t="shared" si="11"/>
        <v>0</v>
      </c>
      <c r="AD64" t="str">
        <f t="shared" si="12"/>
        <v>No</v>
      </c>
      <c r="AE64" t="str">
        <f t="shared" si="13"/>
        <v>No</v>
      </c>
    </row>
    <row r="65" spans="1:31" x14ac:dyDescent="0.25">
      <c r="A65" s="227"/>
      <c r="B65" s="228"/>
      <c r="C65" s="228"/>
      <c r="D65" s="229"/>
      <c r="E65" s="229"/>
      <c r="F65" s="229"/>
      <c r="G65" s="229"/>
      <c r="H65" s="230"/>
      <c r="I65" s="229"/>
      <c r="J65" s="220"/>
      <c r="K65" s="216"/>
      <c r="L65" s="216"/>
      <c r="M65" s="217"/>
      <c r="N65" s="217"/>
      <c r="O65" s="217"/>
      <c r="P65" s="213" t="str">
        <f t="shared" si="0"/>
        <v>No</v>
      </c>
      <c r="Q65" s="148" t="str">
        <f t="shared" si="1"/>
        <v>No</v>
      </c>
      <c r="R65" t="e">
        <f>VLOOKUP(F65, Property!A:B, 2,0)</f>
        <v>#N/A</v>
      </c>
      <c r="T65">
        <f t="shared" si="2"/>
        <v>0</v>
      </c>
      <c r="U65">
        <f t="shared" si="3"/>
        <v>0</v>
      </c>
      <c r="V65">
        <f t="shared" si="4"/>
        <v>0</v>
      </c>
      <c r="W65">
        <f t="shared" si="5"/>
        <v>0</v>
      </c>
      <c r="X65">
        <f t="shared" si="6"/>
        <v>0</v>
      </c>
      <c r="Y65">
        <f t="shared" si="7"/>
        <v>0</v>
      </c>
      <c r="Z65" s="150" t="str">
        <f t="shared" si="8"/>
        <v>No</v>
      </c>
      <c r="AA65" s="150" t="str">
        <f t="shared" si="9"/>
        <v>No</v>
      </c>
      <c r="AB65">
        <f t="shared" si="10"/>
        <v>0</v>
      </c>
      <c r="AC65">
        <f t="shared" si="11"/>
        <v>0</v>
      </c>
      <c r="AD65" t="str">
        <f t="shared" si="12"/>
        <v>No</v>
      </c>
      <c r="AE65" t="str">
        <f t="shared" si="13"/>
        <v>No</v>
      </c>
    </row>
    <row r="66" spans="1:31" x14ac:dyDescent="0.25">
      <c r="A66" s="227"/>
      <c r="B66" s="228"/>
      <c r="C66" s="228"/>
      <c r="D66" s="229"/>
      <c r="E66" s="229"/>
      <c r="F66" s="229"/>
      <c r="G66" s="229"/>
      <c r="H66" s="230"/>
      <c r="I66" s="229"/>
      <c r="J66" s="220"/>
      <c r="K66" s="216"/>
      <c r="L66" s="216"/>
      <c r="M66" s="217"/>
      <c r="N66" s="217"/>
      <c r="O66" s="217"/>
      <c r="P66" s="213" t="str">
        <f t="shared" si="0"/>
        <v>No</v>
      </c>
      <c r="Q66" s="148" t="str">
        <f t="shared" si="1"/>
        <v>No</v>
      </c>
      <c r="R66" t="e">
        <f>VLOOKUP(F66, Property!A:B, 2,0)</f>
        <v>#N/A</v>
      </c>
      <c r="T66">
        <f t="shared" si="2"/>
        <v>0</v>
      </c>
      <c r="U66">
        <f t="shared" si="3"/>
        <v>0</v>
      </c>
      <c r="V66">
        <f t="shared" si="4"/>
        <v>0</v>
      </c>
      <c r="W66">
        <f t="shared" si="5"/>
        <v>0</v>
      </c>
      <c r="X66">
        <f t="shared" si="6"/>
        <v>0</v>
      </c>
      <c r="Y66">
        <f t="shared" si="7"/>
        <v>0</v>
      </c>
      <c r="Z66" s="150" t="str">
        <f t="shared" si="8"/>
        <v>No</v>
      </c>
      <c r="AA66" s="150" t="str">
        <f t="shared" si="9"/>
        <v>No</v>
      </c>
      <c r="AB66">
        <f t="shared" si="10"/>
        <v>0</v>
      </c>
      <c r="AC66">
        <f t="shared" si="11"/>
        <v>0</v>
      </c>
      <c r="AD66" t="str">
        <f t="shared" si="12"/>
        <v>No</v>
      </c>
      <c r="AE66" t="str">
        <f t="shared" si="13"/>
        <v>No</v>
      </c>
    </row>
    <row r="67" spans="1:31" x14ac:dyDescent="0.25">
      <c r="A67" s="227"/>
      <c r="B67" s="228"/>
      <c r="C67" s="228"/>
      <c r="D67" s="229"/>
      <c r="E67" s="229"/>
      <c r="F67" s="229"/>
      <c r="G67" s="229"/>
      <c r="H67" s="230"/>
      <c r="I67" s="229"/>
      <c r="J67" s="220"/>
      <c r="K67" s="216"/>
      <c r="L67" s="216"/>
      <c r="M67" s="217"/>
      <c r="N67" s="217"/>
      <c r="O67" s="217"/>
      <c r="P67" s="213" t="str">
        <f t="shared" ref="P67:P130" si="14">Z67</f>
        <v>No</v>
      </c>
      <c r="Q67" s="148" t="str">
        <f t="shared" ref="Q67:Q130" si="15">AA67</f>
        <v>No</v>
      </c>
      <c r="R67" t="e">
        <f>VLOOKUP(F67, Property!A:B, 2,0)</f>
        <v>#N/A</v>
      </c>
      <c r="T67">
        <f t="shared" ref="T67:T130" si="16">SUM(M67:O67)</f>
        <v>0</v>
      </c>
      <c r="U67">
        <f t="shared" ref="U67:U130" si="17">SUM(J67:L67)</f>
        <v>0</v>
      </c>
      <c r="V67">
        <f t="shared" ref="V67:V130" si="18">IF(AND(J67&gt;0, AC67=0), 1, 0)</f>
        <v>0</v>
      </c>
      <c r="W67">
        <f t="shared" ref="W67:W130" si="19">IF(AND(K67&gt;0, AC67=0), 1, 0)</f>
        <v>0</v>
      </c>
      <c r="X67">
        <f t="shared" ref="X67:X130" si="20">IF(L67&gt;0, 1, 0)</f>
        <v>0</v>
      </c>
      <c r="Y67">
        <f t="shared" ref="Y67:Y130" si="21">SUM(V67:X67)</f>
        <v>0</v>
      </c>
      <c r="Z67" s="150" t="str">
        <f t="shared" ref="Z67:Z130" si="22">IF(AND(Y67&gt;0, AB67=0), "Yes", "No")</f>
        <v>No</v>
      </c>
      <c r="AA67" s="150" t="str">
        <f t="shared" ref="AA67:AA130" si="23">IF(AND(G67&gt;0, AB67=0), "Yes", "No")</f>
        <v>No</v>
      </c>
      <c r="AB67">
        <f t="shared" ref="AB67:AB130" si="24">IF(ISNUMBER(SEARCH("Package",D67)), 1,0)</f>
        <v>0</v>
      </c>
      <c r="AC67">
        <f t="shared" ref="AC67:AC130" si="25">IF(ISNUMBER(SEARCH("Breakfast",D67)), 1,0)</f>
        <v>0</v>
      </c>
      <c r="AD67" t="str">
        <f t="shared" ref="AD67:AD130" si="26">IF(AND(P67="Yes", Z67="No"), "Yes", "No")</f>
        <v>No</v>
      </c>
      <c r="AE67" t="str">
        <f t="shared" ref="AE67:AE130" si="27">IF(AND(Q67="Yes", AA67="No"), "Yes", "No")</f>
        <v>No</v>
      </c>
    </row>
    <row r="68" spans="1:31" x14ac:dyDescent="0.25">
      <c r="A68" s="227"/>
      <c r="B68" s="228"/>
      <c r="C68" s="228"/>
      <c r="D68" s="229"/>
      <c r="E68" s="229"/>
      <c r="F68" s="229"/>
      <c r="G68" s="229"/>
      <c r="H68" s="230"/>
      <c r="I68" s="229"/>
      <c r="J68" s="220"/>
      <c r="K68" s="216"/>
      <c r="L68" s="216"/>
      <c r="M68" s="217"/>
      <c r="N68" s="217"/>
      <c r="O68" s="217"/>
      <c r="P68" s="213" t="str">
        <f t="shared" si="14"/>
        <v>No</v>
      </c>
      <c r="Q68" s="148" t="str">
        <f t="shared" si="15"/>
        <v>No</v>
      </c>
      <c r="R68" t="e">
        <f>VLOOKUP(F68, Property!A:B, 2,0)</f>
        <v>#N/A</v>
      </c>
      <c r="T68">
        <f t="shared" si="16"/>
        <v>0</v>
      </c>
      <c r="U68">
        <f t="shared" si="17"/>
        <v>0</v>
      </c>
      <c r="V68">
        <f t="shared" si="18"/>
        <v>0</v>
      </c>
      <c r="W68">
        <f t="shared" si="19"/>
        <v>0</v>
      </c>
      <c r="X68">
        <f t="shared" si="20"/>
        <v>0</v>
      </c>
      <c r="Y68">
        <f t="shared" si="21"/>
        <v>0</v>
      </c>
      <c r="Z68" s="150" t="str">
        <f t="shared" si="22"/>
        <v>No</v>
      </c>
      <c r="AA68" s="150" t="str">
        <f t="shared" si="23"/>
        <v>No</v>
      </c>
      <c r="AB68">
        <f t="shared" si="24"/>
        <v>0</v>
      </c>
      <c r="AC68">
        <f t="shared" si="25"/>
        <v>0</v>
      </c>
      <c r="AD68" t="str">
        <f t="shared" si="26"/>
        <v>No</v>
      </c>
      <c r="AE68" t="str">
        <f t="shared" si="27"/>
        <v>No</v>
      </c>
    </row>
    <row r="69" spans="1:31" x14ac:dyDescent="0.25">
      <c r="A69" s="227"/>
      <c r="B69" s="228"/>
      <c r="C69" s="228"/>
      <c r="D69" s="229"/>
      <c r="E69" s="229"/>
      <c r="F69" s="229"/>
      <c r="G69" s="229"/>
      <c r="H69" s="230"/>
      <c r="I69" s="229"/>
      <c r="J69" s="220"/>
      <c r="K69" s="216"/>
      <c r="L69" s="216"/>
      <c r="M69" s="217"/>
      <c r="N69" s="217"/>
      <c r="O69" s="217"/>
      <c r="P69" s="213" t="str">
        <f t="shared" si="14"/>
        <v>No</v>
      </c>
      <c r="Q69" s="148" t="str">
        <f t="shared" si="15"/>
        <v>No</v>
      </c>
      <c r="R69" t="e">
        <f>VLOOKUP(F69, Property!A:B, 2,0)</f>
        <v>#N/A</v>
      </c>
      <c r="T69">
        <f t="shared" si="16"/>
        <v>0</v>
      </c>
      <c r="U69">
        <f t="shared" si="17"/>
        <v>0</v>
      </c>
      <c r="V69">
        <f t="shared" si="18"/>
        <v>0</v>
      </c>
      <c r="W69">
        <f t="shared" si="19"/>
        <v>0</v>
      </c>
      <c r="X69">
        <f t="shared" si="20"/>
        <v>0</v>
      </c>
      <c r="Y69">
        <f t="shared" si="21"/>
        <v>0</v>
      </c>
      <c r="Z69" s="150" t="str">
        <f t="shared" si="22"/>
        <v>No</v>
      </c>
      <c r="AA69" s="150" t="str">
        <f t="shared" si="23"/>
        <v>No</v>
      </c>
      <c r="AB69">
        <f t="shared" si="24"/>
        <v>0</v>
      </c>
      <c r="AC69">
        <f t="shared" si="25"/>
        <v>0</v>
      </c>
      <c r="AD69" t="str">
        <f t="shared" si="26"/>
        <v>No</v>
      </c>
      <c r="AE69" t="str">
        <f t="shared" si="27"/>
        <v>No</v>
      </c>
    </row>
    <row r="70" spans="1:31" x14ac:dyDescent="0.25">
      <c r="A70" s="227"/>
      <c r="B70" s="228"/>
      <c r="C70" s="228"/>
      <c r="D70" s="229"/>
      <c r="E70" s="229"/>
      <c r="F70" s="229"/>
      <c r="G70" s="229"/>
      <c r="H70" s="230"/>
      <c r="I70" s="229"/>
      <c r="J70" s="220"/>
      <c r="K70" s="216"/>
      <c r="L70" s="216"/>
      <c r="M70" s="217"/>
      <c r="N70" s="217"/>
      <c r="O70" s="217"/>
      <c r="P70" s="213" t="str">
        <f t="shared" si="14"/>
        <v>No</v>
      </c>
      <c r="Q70" s="148" t="str">
        <f t="shared" si="15"/>
        <v>No</v>
      </c>
      <c r="R70" t="e">
        <f>VLOOKUP(F70, Property!A:B, 2,0)</f>
        <v>#N/A</v>
      </c>
      <c r="T70">
        <f t="shared" si="16"/>
        <v>0</v>
      </c>
      <c r="U70">
        <f t="shared" si="17"/>
        <v>0</v>
      </c>
      <c r="V70">
        <f t="shared" si="18"/>
        <v>0</v>
      </c>
      <c r="W70">
        <f t="shared" si="19"/>
        <v>0</v>
      </c>
      <c r="X70">
        <f t="shared" si="20"/>
        <v>0</v>
      </c>
      <c r="Y70">
        <f t="shared" si="21"/>
        <v>0</v>
      </c>
      <c r="Z70" s="150" t="str">
        <f t="shared" si="22"/>
        <v>No</v>
      </c>
      <c r="AA70" s="150" t="str">
        <f t="shared" si="23"/>
        <v>No</v>
      </c>
      <c r="AB70">
        <f t="shared" si="24"/>
        <v>0</v>
      </c>
      <c r="AC70">
        <f t="shared" si="25"/>
        <v>0</v>
      </c>
      <c r="AD70" t="str">
        <f t="shared" si="26"/>
        <v>No</v>
      </c>
      <c r="AE70" t="str">
        <f t="shared" si="27"/>
        <v>No</v>
      </c>
    </row>
    <row r="71" spans="1:31" x14ac:dyDescent="0.25">
      <c r="A71" s="227"/>
      <c r="B71" s="228"/>
      <c r="C71" s="228"/>
      <c r="D71" s="229"/>
      <c r="E71" s="229"/>
      <c r="F71" s="229"/>
      <c r="G71" s="229"/>
      <c r="H71" s="230"/>
      <c r="I71" s="229"/>
      <c r="J71" s="220"/>
      <c r="K71" s="216"/>
      <c r="L71" s="216"/>
      <c r="M71" s="217"/>
      <c r="N71" s="217"/>
      <c r="O71" s="217"/>
      <c r="P71" s="213" t="str">
        <f t="shared" si="14"/>
        <v>No</v>
      </c>
      <c r="Q71" s="148" t="str">
        <f t="shared" si="15"/>
        <v>No</v>
      </c>
      <c r="R71" t="e">
        <f>VLOOKUP(F71, Property!A:B, 2,0)</f>
        <v>#N/A</v>
      </c>
      <c r="T71">
        <f t="shared" si="16"/>
        <v>0</v>
      </c>
      <c r="U71">
        <f t="shared" si="17"/>
        <v>0</v>
      </c>
      <c r="V71">
        <f t="shared" si="18"/>
        <v>0</v>
      </c>
      <c r="W71">
        <f t="shared" si="19"/>
        <v>0</v>
      </c>
      <c r="X71">
        <f t="shared" si="20"/>
        <v>0</v>
      </c>
      <c r="Y71">
        <f t="shared" si="21"/>
        <v>0</v>
      </c>
      <c r="Z71" s="150" t="str">
        <f t="shared" si="22"/>
        <v>No</v>
      </c>
      <c r="AA71" s="150" t="str">
        <f t="shared" si="23"/>
        <v>No</v>
      </c>
      <c r="AB71">
        <f t="shared" si="24"/>
        <v>0</v>
      </c>
      <c r="AC71">
        <f t="shared" si="25"/>
        <v>0</v>
      </c>
      <c r="AD71" t="str">
        <f t="shared" si="26"/>
        <v>No</v>
      </c>
      <c r="AE71" t="str">
        <f t="shared" si="27"/>
        <v>No</v>
      </c>
    </row>
    <row r="72" spans="1:31" x14ac:dyDescent="0.25">
      <c r="A72" s="227"/>
      <c r="B72" s="228"/>
      <c r="C72" s="228"/>
      <c r="D72" s="229"/>
      <c r="E72" s="229"/>
      <c r="F72" s="229"/>
      <c r="G72" s="229"/>
      <c r="H72" s="230"/>
      <c r="I72" s="229"/>
      <c r="J72" s="220"/>
      <c r="K72" s="216"/>
      <c r="L72" s="216"/>
      <c r="M72" s="217"/>
      <c r="N72" s="217"/>
      <c r="O72" s="217"/>
      <c r="P72" s="213" t="str">
        <f t="shared" si="14"/>
        <v>No</v>
      </c>
      <c r="Q72" s="148" t="str">
        <f t="shared" si="15"/>
        <v>No</v>
      </c>
      <c r="R72" t="e">
        <f>VLOOKUP(F72, Property!A:B, 2,0)</f>
        <v>#N/A</v>
      </c>
      <c r="T72">
        <f t="shared" si="16"/>
        <v>0</v>
      </c>
      <c r="U72">
        <f t="shared" si="17"/>
        <v>0</v>
      </c>
      <c r="V72">
        <f t="shared" si="18"/>
        <v>0</v>
      </c>
      <c r="W72">
        <f t="shared" si="19"/>
        <v>0</v>
      </c>
      <c r="X72">
        <f t="shared" si="20"/>
        <v>0</v>
      </c>
      <c r="Y72">
        <f t="shared" si="21"/>
        <v>0</v>
      </c>
      <c r="Z72" s="150" t="str">
        <f t="shared" si="22"/>
        <v>No</v>
      </c>
      <c r="AA72" s="150" t="str">
        <f t="shared" si="23"/>
        <v>No</v>
      </c>
      <c r="AB72">
        <f t="shared" si="24"/>
        <v>0</v>
      </c>
      <c r="AC72">
        <f t="shared" si="25"/>
        <v>0</v>
      </c>
      <c r="AD72" t="str">
        <f t="shared" si="26"/>
        <v>No</v>
      </c>
      <c r="AE72" t="str">
        <f t="shared" si="27"/>
        <v>No</v>
      </c>
    </row>
    <row r="73" spans="1:31" x14ac:dyDescent="0.25">
      <c r="A73" s="227"/>
      <c r="B73" s="228"/>
      <c r="C73" s="228"/>
      <c r="D73" s="229"/>
      <c r="E73" s="229"/>
      <c r="F73" s="229"/>
      <c r="G73" s="229"/>
      <c r="H73" s="229"/>
      <c r="I73" s="229"/>
      <c r="J73" s="220"/>
      <c r="K73" s="216"/>
      <c r="L73" s="216"/>
      <c r="M73" s="217"/>
      <c r="N73" s="217"/>
      <c r="O73" s="217"/>
      <c r="P73" s="213" t="str">
        <f t="shared" si="14"/>
        <v>No</v>
      </c>
      <c r="Q73" s="148" t="str">
        <f t="shared" si="15"/>
        <v>No</v>
      </c>
      <c r="R73" t="e">
        <f>VLOOKUP(F73, Property!A:B, 2,0)</f>
        <v>#N/A</v>
      </c>
      <c r="T73">
        <f t="shared" si="16"/>
        <v>0</v>
      </c>
      <c r="U73">
        <f t="shared" si="17"/>
        <v>0</v>
      </c>
      <c r="V73">
        <f t="shared" si="18"/>
        <v>0</v>
      </c>
      <c r="W73">
        <f t="shared" si="19"/>
        <v>0</v>
      </c>
      <c r="X73">
        <f t="shared" si="20"/>
        <v>0</v>
      </c>
      <c r="Y73">
        <f t="shared" si="21"/>
        <v>0</v>
      </c>
      <c r="Z73" s="150" t="str">
        <f t="shared" si="22"/>
        <v>No</v>
      </c>
      <c r="AA73" s="150" t="str">
        <f t="shared" si="23"/>
        <v>No</v>
      </c>
      <c r="AB73">
        <f t="shared" si="24"/>
        <v>0</v>
      </c>
      <c r="AC73">
        <f t="shared" si="25"/>
        <v>0</v>
      </c>
      <c r="AD73" t="str">
        <f t="shared" si="26"/>
        <v>No</v>
      </c>
      <c r="AE73" t="str">
        <f t="shared" si="27"/>
        <v>No</v>
      </c>
    </row>
    <row r="74" spans="1:31" x14ac:dyDescent="0.25">
      <c r="A74" s="227"/>
      <c r="B74" s="228"/>
      <c r="C74" s="228"/>
      <c r="D74" s="229"/>
      <c r="E74" s="229"/>
      <c r="F74" s="229"/>
      <c r="G74" s="229"/>
      <c r="H74" s="230"/>
      <c r="I74" s="229"/>
      <c r="J74" s="220"/>
      <c r="K74" s="216"/>
      <c r="L74" s="216"/>
      <c r="M74" s="217"/>
      <c r="N74" s="217"/>
      <c r="O74" s="217"/>
      <c r="P74" s="213" t="str">
        <f t="shared" si="14"/>
        <v>No</v>
      </c>
      <c r="Q74" s="148" t="str">
        <f t="shared" si="15"/>
        <v>No</v>
      </c>
      <c r="R74" t="e">
        <f>VLOOKUP(F74, Property!A:B, 2,0)</f>
        <v>#N/A</v>
      </c>
      <c r="T74">
        <f t="shared" si="16"/>
        <v>0</v>
      </c>
      <c r="U74">
        <f t="shared" si="17"/>
        <v>0</v>
      </c>
      <c r="V74">
        <f t="shared" si="18"/>
        <v>0</v>
      </c>
      <c r="W74">
        <f t="shared" si="19"/>
        <v>0</v>
      </c>
      <c r="X74">
        <f t="shared" si="20"/>
        <v>0</v>
      </c>
      <c r="Y74">
        <f t="shared" si="21"/>
        <v>0</v>
      </c>
      <c r="Z74" s="150" t="str">
        <f t="shared" si="22"/>
        <v>No</v>
      </c>
      <c r="AA74" s="150" t="str">
        <f t="shared" si="23"/>
        <v>No</v>
      </c>
      <c r="AB74">
        <f t="shared" si="24"/>
        <v>0</v>
      </c>
      <c r="AC74">
        <f t="shared" si="25"/>
        <v>0</v>
      </c>
      <c r="AD74" t="str">
        <f t="shared" si="26"/>
        <v>No</v>
      </c>
      <c r="AE74" t="str">
        <f t="shared" si="27"/>
        <v>No</v>
      </c>
    </row>
    <row r="75" spans="1:31" x14ac:dyDescent="0.25">
      <c r="A75" s="227"/>
      <c r="B75" s="228"/>
      <c r="C75" s="228"/>
      <c r="D75" s="229"/>
      <c r="E75" s="229"/>
      <c r="F75" s="229"/>
      <c r="G75" s="229"/>
      <c r="H75" s="230"/>
      <c r="I75" s="229"/>
      <c r="J75" s="220"/>
      <c r="K75" s="216"/>
      <c r="L75" s="216"/>
      <c r="M75" s="216"/>
      <c r="N75" s="217"/>
      <c r="O75" s="217"/>
      <c r="P75" s="213" t="str">
        <f t="shared" si="14"/>
        <v>No</v>
      </c>
      <c r="Q75" s="148" t="str">
        <f t="shared" si="15"/>
        <v>No</v>
      </c>
      <c r="R75" t="e">
        <f>VLOOKUP(F75, Property!A:B, 2,0)</f>
        <v>#N/A</v>
      </c>
      <c r="T75">
        <f t="shared" si="16"/>
        <v>0</v>
      </c>
      <c r="U75">
        <f t="shared" si="17"/>
        <v>0</v>
      </c>
      <c r="V75">
        <f t="shared" si="18"/>
        <v>0</v>
      </c>
      <c r="W75">
        <f t="shared" si="19"/>
        <v>0</v>
      </c>
      <c r="X75">
        <f t="shared" si="20"/>
        <v>0</v>
      </c>
      <c r="Y75">
        <f t="shared" si="21"/>
        <v>0</v>
      </c>
      <c r="Z75" s="150" t="str">
        <f t="shared" si="22"/>
        <v>No</v>
      </c>
      <c r="AA75" s="150" t="str">
        <f t="shared" si="23"/>
        <v>No</v>
      </c>
      <c r="AB75">
        <f t="shared" si="24"/>
        <v>0</v>
      </c>
      <c r="AC75">
        <f t="shared" si="25"/>
        <v>0</v>
      </c>
      <c r="AD75" t="str">
        <f t="shared" si="26"/>
        <v>No</v>
      </c>
      <c r="AE75" t="str">
        <f t="shared" si="27"/>
        <v>No</v>
      </c>
    </row>
    <row r="76" spans="1:31" x14ac:dyDescent="0.25">
      <c r="A76" s="227"/>
      <c r="B76" s="228"/>
      <c r="C76" s="228"/>
      <c r="D76" s="229"/>
      <c r="E76" s="229"/>
      <c r="F76" s="229"/>
      <c r="G76" s="229"/>
      <c r="H76" s="230"/>
      <c r="I76" s="229"/>
      <c r="J76" s="220"/>
      <c r="K76" s="216"/>
      <c r="L76" s="216"/>
      <c r="M76" s="217"/>
      <c r="N76" s="217"/>
      <c r="O76" s="217"/>
      <c r="P76" s="213" t="str">
        <f t="shared" si="14"/>
        <v>No</v>
      </c>
      <c r="Q76" s="148" t="str">
        <f t="shared" si="15"/>
        <v>No</v>
      </c>
      <c r="R76" t="e">
        <f>VLOOKUP(F76, Property!A:B, 2,0)</f>
        <v>#N/A</v>
      </c>
      <c r="T76">
        <f t="shared" si="16"/>
        <v>0</v>
      </c>
      <c r="U76">
        <f t="shared" si="17"/>
        <v>0</v>
      </c>
      <c r="V76">
        <f t="shared" si="18"/>
        <v>0</v>
      </c>
      <c r="W76">
        <f t="shared" si="19"/>
        <v>0</v>
      </c>
      <c r="X76">
        <f t="shared" si="20"/>
        <v>0</v>
      </c>
      <c r="Y76">
        <f t="shared" si="21"/>
        <v>0</v>
      </c>
      <c r="Z76" s="150" t="str">
        <f t="shared" si="22"/>
        <v>No</v>
      </c>
      <c r="AA76" s="150" t="str">
        <f t="shared" si="23"/>
        <v>No</v>
      </c>
      <c r="AB76">
        <f t="shared" si="24"/>
        <v>0</v>
      </c>
      <c r="AC76">
        <f t="shared" si="25"/>
        <v>0</v>
      </c>
      <c r="AD76" t="str">
        <f t="shared" si="26"/>
        <v>No</v>
      </c>
      <c r="AE76" t="str">
        <f t="shared" si="27"/>
        <v>No</v>
      </c>
    </row>
    <row r="77" spans="1:31" x14ac:dyDescent="0.25">
      <c r="A77" s="227"/>
      <c r="B77" s="228"/>
      <c r="C77" s="228"/>
      <c r="D77" s="229"/>
      <c r="E77" s="229"/>
      <c r="F77" s="229"/>
      <c r="G77" s="229"/>
      <c r="H77" s="229"/>
      <c r="I77" s="229"/>
      <c r="J77" s="220"/>
      <c r="K77" s="216"/>
      <c r="L77" s="216"/>
      <c r="M77" s="217"/>
      <c r="N77" s="217"/>
      <c r="O77" s="217"/>
      <c r="P77" s="213" t="str">
        <f t="shared" si="14"/>
        <v>No</v>
      </c>
      <c r="Q77" s="148" t="str">
        <f t="shared" si="15"/>
        <v>No</v>
      </c>
      <c r="R77" t="e">
        <f>VLOOKUP(F77, Property!A:B, 2,0)</f>
        <v>#N/A</v>
      </c>
      <c r="T77">
        <f t="shared" si="16"/>
        <v>0</v>
      </c>
      <c r="U77">
        <f t="shared" si="17"/>
        <v>0</v>
      </c>
      <c r="V77">
        <f t="shared" si="18"/>
        <v>0</v>
      </c>
      <c r="W77">
        <f t="shared" si="19"/>
        <v>0</v>
      </c>
      <c r="X77">
        <f t="shared" si="20"/>
        <v>0</v>
      </c>
      <c r="Y77">
        <f t="shared" si="21"/>
        <v>0</v>
      </c>
      <c r="Z77" s="150" t="str">
        <f t="shared" si="22"/>
        <v>No</v>
      </c>
      <c r="AA77" s="150" t="str">
        <f t="shared" si="23"/>
        <v>No</v>
      </c>
      <c r="AB77">
        <f t="shared" si="24"/>
        <v>0</v>
      </c>
      <c r="AC77">
        <f t="shared" si="25"/>
        <v>0</v>
      </c>
      <c r="AD77" t="str">
        <f t="shared" si="26"/>
        <v>No</v>
      </c>
      <c r="AE77" t="str">
        <f t="shared" si="27"/>
        <v>No</v>
      </c>
    </row>
    <row r="78" spans="1:31" x14ac:dyDescent="0.25">
      <c r="A78" s="227"/>
      <c r="B78" s="228"/>
      <c r="C78" s="228"/>
      <c r="D78" s="229"/>
      <c r="E78" s="229"/>
      <c r="F78" s="229"/>
      <c r="G78" s="229"/>
      <c r="H78" s="230"/>
      <c r="I78" s="229"/>
      <c r="J78" s="220"/>
      <c r="K78" s="216"/>
      <c r="L78" s="216"/>
      <c r="M78" s="217"/>
      <c r="N78" s="217"/>
      <c r="O78" s="217"/>
      <c r="P78" s="213" t="str">
        <f t="shared" si="14"/>
        <v>No</v>
      </c>
      <c r="Q78" s="148" t="str">
        <f t="shared" si="15"/>
        <v>No</v>
      </c>
      <c r="R78" t="e">
        <f>VLOOKUP(F78, Property!A:B, 2,0)</f>
        <v>#N/A</v>
      </c>
      <c r="T78">
        <f t="shared" si="16"/>
        <v>0</v>
      </c>
      <c r="U78">
        <f t="shared" si="17"/>
        <v>0</v>
      </c>
      <c r="V78">
        <f t="shared" si="18"/>
        <v>0</v>
      </c>
      <c r="W78">
        <f t="shared" si="19"/>
        <v>0</v>
      </c>
      <c r="X78">
        <f t="shared" si="20"/>
        <v>0</v>
      </c>
      <c r="Y78">
        <f t="shared" si="21"/>
        <v>0</v>
      </c>
      <c r="Z78" s="150" t="str">
        <f t="shared" si="22"/>
        <v>No</v>
      </c>
      <c r="AA78" s="150" t="str">
        <f t="shared" si="23"/>
        <v>No</v>
      </c>
      <c r="AB78">
        <f t="shared" si="24"/>
        <v>0</v>
      </c>
      <c r="AC78">
        <f t="shared" si="25"/>
        <v>0</v>
      </c>
      <c r="AD78" t="str">
        <f t="shared" si="26"/>
        <v>No</v>
      </c>
      <c r="AE78" t="str">
        <f t="shared" si="27"/>
        <v>No</v>
      </c>
    </row>
    <row r="79" spans="1:31" x14ac:dyDescent="0.25">
      <c r="A79" s="227"/>
      <c r="B79" s="228"/>
      <c r="C79" s="228"/>
      <c r="D79" s="229"/>
      <c r="E79" s="229"/>
      <c r="F79" s="229"/>
      <c r="G79" s="229"/>
      <c r="H79" s="230"/>
      <c r="I79" s="229"/>
      <c r="J79" s="220"/>
      <c r="K79" s="216"/>
      <c r="L79" s="216"/>
      <c r="M79" s="217"/>
      <c r="N79" s="217"/>
      <c r="O79" s="217"/>
      <c r="P79" s="213" t="str">
        <f t="shared" si="14"/>
        <v>No</v>
      </c>
      <c r="Q79" s="148" t="str">
        <f t="shared" si="15"/>
        <v>No</v>
      </c>
      <c r="R79" t="e">
        <f>VLOOKUP(F79, Property!A:B, 2,0)</f>
        <v>#N/A</v>
      </c>
      <c r="T79">
        <f t="shared" si="16"/>
        <v>0</v>
      </c>
      <c r="U79">
        <f t="shared" si="17"/>
        <v>0</v>
      </c>
      <c r="V79">
        <f t="shared" si="18"/>
        <v>0</v>
      </c>
      <c r="W79">
        <f t="shared" si="19"/>
        <v>0</v>
      </c>
      <c r="X79">
        <f t="shared" si="20"/>
        <v>0</v>
      </c>
      <c r="Y79">
        <f t="shared" si="21"/>
        <v>0</v>
      </c>
      <c r="Z79" s="150" t="str">
        <f t="shared" si="22"/>
        <v>No</v>
      </c>
      <c r="AA79" s="150" t="str">
        <f t="shared" si="23"/>
        <v>No</v>
      </c>
      <c r="AB79">
        <f t="shared" si="24"/>
        <v>0</v>
      </c>
      <c r="AC79">
        <f t="shared" si="25"/>
        <v>0</v>
      </c>
      <c r="AD79" t="str">
        <f t="shared" si="26"/>
        <v>No</v>
      </c>
      <c r="AE79" t="str">
        <f t="shared" si="27"/>
        <v>No</v>
      </c>
    </row>
    <row r="80" spans="1:31" x14ac:dyDescent="0.25">
      <c r="A80" s="227"/>
      <c r="B80" s="228"/>
      <c r="C80" s="228"/>
      <c r="D80" s="229"/>
      <c r="E80" s="229"/>
      <c r="F80" s="229"/>
      <c r="G80" s="229"/>
      <c r="H80" s="230"/>
      <c r="I80" s="229"/>
      <c r="J80" s="220"/>
      <c r="K80" s="216"/>
      <c r="L80" s="216"/>
      <c r="M80" s="217"/>
      <c r="N80" s="217"/>
      <c r="O80" s="217"/>
      <c r="P80" s="213" t="str">
        <f t="shared" si="14"/>
        <v>No</v>
      </c>
      <c r="Q80" s="148" t="str">
        <f t="shared" si="15"/>
        <v>No</v>
      </c>
      <c r="R80" t="e">
        <f>VLOOKUP(F80, Property!A:B, 2,0)</f>
        <v>#N/A</v>
      </c>
      <c r="T80">
        <f t="shared" si="16"/>
        <v>0</v>
      </c>
      <c r="U80">
        <f t="shared" si="17"/>
        <v>0</v>
      </c>
      <c r="V80">
        <f t="shared" si="18"/>
        <v>0</v>
      </c>
      <c r="W80">
        <f t="shared" si="19"/>
        <v>0</v>
      </c>
      <c r="X80">
        <f t="shared" si="20"/>
        <v>0</v>
      </c>
      <c r="Y80">
        <f t="shared" si="21"/>
        <v>0</v>
      </c>
      <c r="Z80" s="150" t="str">
        <f t="shared" si="22"/>
        <v>No</v>
      </c>
      <c r="AA80" s="150" t="str">
        <f t="shared" si="23"/>
        <v>No</v>
      </c>
      <c r="AB80">
        <f t="shared" si="24"/>
        <v>0</v>
      </c>
      <c r="AC80">
        <f t="shared" si="25"/>
        <v>0</v>
      </c>
      <c r="AD80" t="str">
        <f t="shared" si="26"/>
        <v>No</v>
      </c>
      <c r="AE80" t="str">
        <f t="shared" si="27"/>
        <v>No</v>
      </c>
    </row>
    <row r="81" spans="1:31" x14ac:dyDescent="0.25">
      <c r="A81" s="227"/>
      <c r="B81" s="228"/>
      <c r="C81" s="228"/>
      <c r="D81" s="229"/>
      <c r="E81" s="229"/>
      <c r="F81" s="229"/>
      <c r="G81" s="229"/>
      <c r="H81" s="230"/>
      <c r="I81" s="229"/>
      <c r="J81" s="220"/>
      <c r="K81" s="216"/>
      <c r="L81" s="216"/>
      <c r="M81" s="217"/>
      <c r="N81" s="217"/>
      <c r="O81" s="217"/>
      <c r="P81" s="213" t="str">
        <f t="shared" si="14"/>
        <v>No</v>
      </c>
      <c r="Q81" s="148" t="str">
        <f t="shared" si="15"/>
        <v>No</v>
      </c>
      <c r="R81" t="e">
        <f>VLOOKUP(F81, Property!A:B, 2,0)</f>
        <v>#N/A</v>
      </c>
      <c r="T81">
        <f t="shared" si="16"/>
        <v>0</v>
      </c>
      <c r="U81">
        <f t="shared" si="17"/>
        <v>0</v>
      </c>
      <c r="V81">
        <f t="shared" si="18"/>
        <v>0</v>
      </c>
      <c r="W81">
        <f t="shared" si="19"/>
        <v>0</v>
      </c>
      <c r="X81">
        <f t="shared" si="20"/>
        <v>0</v>
      </c>
      <c r="Y81">
        <f t="shared" si="21"/>
        <v>0</v>
      </c>
      <c r="Z81" s="150" t="str">
        <f t="shared" si="22"/>
        <v>No</v>
      </c>
      <c r="AA81" s="150" t="str">
        <f t="shared" si="23"/>
        <v>No</v>
      </c>
      <c r="AB81">
        <f t="shared" si="24"/>
        <v>0</v>
      </c>
      <c r="AC81">
        <f t="shared" si="25"/>
        <v>0</v>
      </c>
      <c r="AD81" t="str">
        <f t="shared" si="26"/>
        <v>No</v>
      </c>
      <c r="AE81" t="str">
        <f t="shared" si="27"/>
        <v>No</v>
      </c>
    </row>
    <row r="82" spans="1:31" x14ac:dyDescent="0.25">
      <c r="A82" s="227"/>
      <c r="B82" s="228"/>
      <c r="C82" s="228"/>
      <c r="D82" s="229"/>
      <c r="E82" s="229"/>
      <c r="F82" s="229"/>
      <c r="G82" s="229"/>
      <c r="H82" s="229"/>
      <c r="I82" s="229"/>
      <c r="J82" s="220"/>
      <c r="K82" s="216"/>
      <c r="L82" s="216"/>
      <c r="M82" s="217"/>
      <c r="N82" s="217"/>
      <c r="O82" s="217"/>
      <c r="P82" s="213" t="str">
        <f t="shared" si="14"/>
        <v>No</v>
      </c>
      <c r="Q82" s="148" t="str">
        <f t="shared" si="15"/>
        <v>No</v>
      </c>
      <c r="R82" t="e">
        <f>VLOOKUP(F82, Property!A:B, 2,0)</f>
        <v>#N/A</v>
      </c>
      <c r="T82">
        <f t="shared" si="16"/>
        <v>0</v>
      </c>
      <c r="U82">
        <f t="shared" si="17"/>
        <v>0</v>
      </c>
      <c r="V82">
        <f t="shared" si="18"/>
        <v>0</v>
      </c>
      <c r="W82">
        <f t="shared" si="19"/>
        <v>0</v>
      </c>
      <c r="X82">
        <f t="shared" si="20"/>
        <v>0</v>
      </c>
      <c r="Y82">
        <f t="shared" si="21"/>
        <v>0</v>
      </c>
      <c r="Z82" s="150" t="str">
        <f t="shared" si="22"/>
        <v>No</v>
      </c>
      <c r="AA82" s="150" t="str">
        <f t="shared" si="23"/>
        <v>No</v>
      </c>
      <c r="AB82">
        <f t="shared" si="24"/>
        <v>0</v>
      </c>
      <c r="AC82">
        <f t="shared" si="25"/>
        <v>0</v>
      </c>
      <c r="AD82" t="str">
        <f t="shared" si="26"/>
        <v>No</v>
      </c>
      <c r="AE82" t="str">
        <f t="shared" si="27"/>
        <v>No</v>
      </c>
    </row>
    <row r="83" spans="1:31" x14ac:dyDescent="0.25">
      <c r="A83" s="227"/>
      <c r="B83" s="228"/>
      <c r="C83" s="228"/>
      <c r="D83" s="229"/>
      <c r="E83" s="229"/>
      <c r="F83" s="229"/>
      <c r="G83" s="229"/>
      <c r="H83" s="230"/>
      <c r="I83" s="229"/>
      <c r="J83" s="220"/>
      <c r="K83" s="216"/>
      <c r="L83" s="216"/>
      <c r="M83" s="217"/>
      <c r="N83" s="217"/>
      <c r="O83" s="217"/>
      <c r="P83" s="213" t="str">
        <f t="shared" si="14"/>
        <v>No</v>
      </c>
      <c r="Q83" s="148" t="str">
        <f t="shared" si="15"/>
        <v>No</v>
      </c>
      <c r="R83" t="e">
        <f>VLOOKUP(F83, Property!A:B, 2,0)</f>
        <v>#N/A</v>
      </c>
      <c r="T83">
        <f t="shared" si="16"/>
        <v>0</v>
      </c>
      <c r="U83">
        <f t="shared" si="17"/>
        <v>0</v>
      </c>
      <c r="V83">
        <f t="shared" si="18"/>
        <v>0</v>
      </c>
      <c r="W83">
        <f t="shared" si="19"/>
        <v>0</v>
      </c>
      <c r="X83">
        <f t="shared" si="20"/>
        <v>0</v>
      </c>
      <c r="Y83">
        <f t="shared" si="21"/>
        <v>0</v>
      </c>
      <c r="Z83" s="150" t="str">
        <f t="shared" si="22"/>
        <v>No</v>
      </c>
      <c r="AA83" s="150" t="str">
        <f t="shared" si="23"/>
        <v>No</v>
      </c>
      <c r="AB83">
        <f t="shared" si="24"/>
        <v>0</v>
      </c>
      <c r="AC83">
        <f t="shared" si="25"/>
        <v>0</v>
      </c>
      <c r="AD83" t="str">
        <f t="shared" si="26"/>
        <v>No</v>
      </c>
      <c r="AE83" t="str">
        <f t="shared" si="27"/>
        <v>No</v>
      </c>
    </row>
    <row r="84" spans="1:31" x14ac:dyDescent="0.25">
      <c r="A84" s="227"/>
      <c r="B84" s="228"/>
      <c r="C84" s="228"/>
      <c r="D84" s="229"/>
      <c r="E84" s="229"/>
      <c r="F84" s="229"/>
      <c r="G84" s="229"/>
      <c r="H84" s="230"/>
      <c r="I84" s="229"/>
      <c r="J84" s="220"/>
      <c r="K84" s="216"/>
      <c r="L84" s="216"/>
      <c r="M84" s="217"/>
      <c r="N84" s="217"/>
      <c r="O84" s="217"/>
      <c r="P84" s="213" t="str">
        <f t="shared" si="14"/>
        <v>No</v>
      </c>
      <c r="Q84" s="148" t="str">
        <f t="shared" si="15"/>
        <v>No</v>
      </c>
      <c r="R84" t="e">
        <f>VLOOKUP(F84, Property!A:B, 2,0)</f>
        <v>#N/A</v>
      </c>
      <c r="T84">
        <f t="shared" si="16"/>
        <v>0</v>
      </c>
      <c r="U84">
        <f t="shared" si="17"/>
        <v>0</v>
      </c>
      <c r="V84">
        <f t="shared" si="18"/>
        <v>0</v>
      </c>
      <c r="W84">
        <f t="shared" si="19"/>
        <v>0</v>
      </c>
      <c r="X84">
        <f t="shared" si="20"/>
        <v>0</v>
      </c>
      <c r="Y84">
        <f t="shared" si="21"/>
        <v>0</v>
      </c>
      <c r="Z84" s="150" t="str">
        <f t="shared" si="22"/>
        <v>No</v>
      </c>
      <c r="AA84" s="150" t="str">
        <f t="shared" si="23"/>
        <v>No</v>
      </c>
      <c r="AB84">
        <f t="shared" si="24"/>
        <v>0</v>
      </c>
      <c r="AC84">
        <f t="shared" si="25"/>
        <v>0</v>
      </c>
      <c r="AD84" t="str">
        <f t="shared" si="26"/>
        <v>No</v>
      </c>
      <c r="AE84" t="str">
        <f t="shared" si="27"/>
        <v>No</v>
      </c>
    </row>
    <row r="85" spans="1:31" x14ac:dyDescent="0.25">
      <c r="A85" s="227"/>
      <c r="B85" s="228"/>
      <c r="C85" s="228"/>
      <c r="D85" s="229"/>
      <c r="E85" s="229"/>
      <c r="F85" s="229"/>
      <c r="G85" s="229"/>
      <c r="H85" s="230"/>
      <c r="I85" s="229"/>
      <c r="J85" s="220"/>
      <c r="K85" s="216"/>
      <c r="L85" s="216"/>
      <c r="M85" s="217"/>
      <c r="N85" s="217"/>
      <c r="O85" s="217"/>
      <c r="P85" s="213" t="str">
        <f t="shared" si="14"/>
        <v>No</v>
      </c>
      <c r="Q85" s="148" t="str">
        <f t="shared" si="15"/>
        <v>No</v>
      </c>
      <c r="R85" t="e">
        <f>VLOOKUP(F85, Property!A:B, 2,0)</f>
        <v>#N/A</v>
      </c>
      <c r="T85">
        <f t="shared" si="16"/>
        <v>0</v>
      </c>
      <c r="U85">
        <f t="shared" si="17"/>
        <v>0</v>
      </c>
      <c r="V85">
        <f t="shared" si="18"/>
        <v>0</v>
      </c>
      <c r="W85">
        <f t="shared" si="19"/>
        <v>0</v>
      </c>
      <c r="X85">
        <f t="shared" si="20"/>
        <v>0</v>
      </c>
      <c r="Y85">
        <f t="shared" si="21"/>
        <v>0</v>
      </c>
      <c r="Z85" s="150" t="str">
        <f t="shared" si="22"/>
        <v>No</v>
      </c>
      <c r="AA85" s="150" t="str">
        <f t="shared" si="23"/>
        <v>No</v>
      </c>
      <c r="AB85">
        <f t="shared" si="24"/>
        <v>0</v>
      </c>
      <c r="AC85">
        <f t="shared" si="25"/>
        <v>0</v>
      </c>
      <c r="AD85" t="str">
        <f t="shared" si="26"/>
        <v>No</v>
      </c>
      <c r="AE85" t="str">
        <f t="shared" si="27"/>
        <v>No</v>
      </c>
    </row>
    <row r="86" spans="1:31" x14ac:dyDescent="0.25">
      <c r="A86" s="227"/>
      <c r="B86" s="228"/>
      <c r="C86" s="228"/>
      <c r="D86" s="229"/>
      <c r="E86" s="229"/>
      <c r="F86" s="229"/>
      <c r="G86" s="229"/>
      <c r="H86" s="230"/>
      <c r="I86" s="229"/>
      <c r="J86" s="220"/>
      <c r="K86" s="216"/>
      <c r="L86" s="216"/>
      <c r="M86" s="217"/>
      <c r="N86" s="217"/>
      <c r="O86" s="217"/>
      <c r="P86" s="213" t="str">
        <f t="shared" si="14"/>
        <v>No</v>
      </c>
      <c r="Q86" s="148" t="str">
        <f t="shared" si="15"/>
        <v>No</v>
      </c>
      <c r="R86" t="e">
        <f>VLOOKUP(F86, Property!A:B, 2,0)</f>
        <v>#N/A</v>
      </c>
      <c r="T86">
        <f t="shared" si="16"/>
        <v>0</v>
      </c>
      <c r="U86">
        <f t="shared" si="17"/>
        <v>0</v>
      </c>
      <c r="V86">
        <f t="shared" si="18"/>
        <v>0</v>
      </c>
      <c r="W86">
        <f t="shared" si="19"/>
        <v>0</v>
      </c>
      <c r="X86">
        <f t="shared" si="20"/>
        <v>0</v>
      </c>
      <c r="Y86">
        <f t="shared" si="21"/>
        <v>0</v>
      </c>
      <c r="Z86" s="150" t="str">
        <f t="shared" si="22"/>
        <v>No</v>
      </c>
      <c r="AA86" s="150" t="str">
        <f t="shared" si="23"/>
        <v>No</v>
      </c>
      <c r="AB86">
        <f t="shared" si="24"/>
        <v>0</v>
      </c>
      <c r="AC86">
        <f t="shared" si="25"/>
        <v>0</v>
      </c>
      <c r="AD86" t="str">
        <f t="shared" si="26"/>
        <v>No</v>
      </c>
      <c r="AE86" t="str">
        <f t="shared" si="27"/>
        <v>No</v>
      </c>
    </row>
    <row r="87" spans="1:31" x14ac:dyDescent="0.25">
      <c r="A87" s="227"/>
      <c r="B87" s="228"/>
      <c r="C87" s="228"/>
      <c r="D87" s="229"/>
      <c r="E87" s="229"/>
      <c r="F87" s="229"/>
      <c r="G87" s="229"/>
      <c r="H87" s="229"/>
      <c r="I87" s="229"/>
      <c r="J87" s="220"/>
      <c r="K87" s="216"/>
      <c r="L87" s="216"/>
      <c r="M87" s="217"/>
      <c r="N87" s="217"/>
      <c r="O87" s="217"/>
      <c r="P87" s="213" t="str">
        <f t="shared" si="14"/>
        <v>No</v>
      </c>
      <c r="Q87" s="148" t="str">
        <f t="shared" si="15"/>
        <v>No</v>
      </c>
      <c r="R87" t="e">
        <f>VLOOKUP(F87, Property!A:B, 2,0)</f>
        <v>#N/A</v>
      </c>
      <c r="T87">
        <f t="shared" si="16"/>
        <v>0</v>
      </c>
      <c r="U87">
        <f t="shared" si="17"/>
        <v>0</v>
      </c>
      <c r="V87">
        <f t="shared" si="18"/>
        <v>0</v>
      </c>
      <c r="W87">
        <f t="shared" si="19"/>
        <v>0</v>
      </c>
      <c r="X87">
        <f t="shared" si="20"/>
        <v>0</v>
      </c>
      <c r="Y87">
        <f t="shared" si="21"/>
        <v>0</v>
      </c>
      <c r="Z87" s="150" t="str">
        <f t="shared" si="22"/>
        <v>No</v>
      </c>
      <c r="AA87" s="150" t="str">
        <f t="shared" si="23"/>
        <v>No</v>
      </c>
      <c r="AB87">
        <f t="shared" si="24"/>
        <v>0</v>
      </c>
      <c r="AC87">
        <f t="shared" si="25"/>
        <v>0</v>
      </c>
      <c r="AD87" t="str">
        <f t="shared" si="26"/>
        <v>No</v>
      </c>
      <c r="AE87" t="str">
        <f t="shared" si="27"/>
        <v>No</v>
      </c>
    </row>
    <row r="88" spans="1:31" x14ac:dyDescent="0.25">
      <c r="A88" s="227"/>
      <c r="B88" s="228"/>
      <c r="C88" s="228"/>
      <c r="D88" s="229"/>
      <c r="E88" s="229"/>
      <c r="F88" s="229"/>
      <c r="G88" s="229"/>
      <c r="H88" s="230"/>
      <c r="I88" s="229"/>
      <c r="J88" s="220"/>
      <c r="K88" s="216"/>
      <c r="L88" s="216"/>
      <c r="M88" s="217"/>
      <c r="N88" s="217"/>
      <c r="O88" s="217"/>
      <c r="P88" s="213" t="str">
        <f t="shared" si="14"/>
        <v>No</v>
      </c>
      <c r="Q88" s="148" t="str">
        <f t="shared" si="15"/>
        <v>No</v>
      </c>
      <c r="R88" t="e">
        <f>VLOOKUP(F88, Property!A:B, 2,0)</f>
        <v>#N/A</v>
      </c>
      <c r="T88">
        <f t="shared" si="16"/>
        <v>0</v>
      </c>
      <c r="U88">
        <f t="shared" si="17"/>
        <v>0</v>
      </c>
      <c r="V88">
        <f t="shared" si="18"/>
        <v>0</v>
      </c>
      <c r="W88">
        <f t="shared" si="19"/>
        <v>0</v>
      </c>
      <c r="X88">
        <f t="shared" si="20"/>
        <v>0</v>
      </c>
      <c r="Y88">
        <f t="shared" si="21"/>
        <v>0</v>
      </c>
      <c r="Z88" s="150" t="str">
        <f t="shared" si="22"/>
        <v>No</v>
      </c>
      <c r="AA88" s="150" t="str">
        <f t="shared" si="23"/>
        <v>No</v>
      </c>
      <c r="AB88">
        <f t="shared" si="24"/>
        <v>0</v>
      </c>
      <c r="AC88">
        <f t="shared" si="25"/>
        <v>0</v>
      </c>
      <c r="AD88" t="str">
        <f t="shared" si="26"/>
        <v>No</v>
      </c>
      <c r="AE88" t="str">
        <f t="shared" si="27"/>
        <v>No</v>
      </c>
    </row>
    <row r="89" spans="1:31" x14ac:dyDescent="0.25">
      <c r="A89" s="227"/>
      <c r="B89" s="228"/>
      <c r="C89" s="228"/>
      <c r="D89" s="229"/>
      <c r="E89" s="229"/>
      <c r="F89" s="229"/>
      <c r="G89" s="229"/>
      <c r="H89" s="230"/>
      <c r="I89" s="229"/>
      <c r="J89" s="220"/>
      <c r="K89" s="216"/>
      <c r="L89" s="216"/>
      <c r="M89" s="217"/>
      <c r="N89" s="217"/>
      <c r="O89" s="217"/>
      <c r="P89" s="213" t="str">
        <f t="shared" si="14"/>
        <v>No</v>
      </c>
      <c r="Q89" s="148" t="str">
        <f t="shared" si="15"/>
        <v>No</v>
      </c>
      <c r="R89" t="e">
        <f>VLOOKUP(F89, Property!A:B, 2,0)</f>
        <v>#N/A</v>
      </c>
      <c r="T89">
        <f t="shared" si="16"/>
        <v>0</v>
      </c>
      <c r="U89">
        <f t="shared" si="17"/>
        <v>0</v>
      </c>
      <c r="V89">
        <f t="shared" si="18"/>
        <v>0</v>
      </c>
      <c r="W89">
        <f t="shared" si="19"/>
        <v>0</v>
      </c>
      <c r="X89">
        <f t="shared" si="20"/>
        <v>0</v>
      </c>
      <c r="Y89">
        <f t="shared" si="21"/>
        <v>0</v>
      </c>
      <c r="Z89" s="150" t="str">
        <f t="shared" si="22"/>
        <v>No</v>
      </c>
      <c r="AA89" s="150" t="str">
        <f t="shared" si="23"/>
        <v>No</v>
      </c>
      <c r="AB89">
        <f t="shared" si="24"/>
        <v>0</v>
      </c>
      <c r="AC89">
        <f t="shared" si="25"/>
        <v>0</v>
      </c>
      <c r="AD89" t="str">
        <f t="shared" si="26"/>
        <v>No</v>
      </c>
      <c r="AE89" t="str">
        <f t="shared" si="27"/>
        <v>No</v>
      </c>
    </row>
    <row r="90" spans="1:31" x14ac:dyDescent="0.25">
      <c r="A90" s="227"/>
      <c r="B90" s="228"/>
      <c r="C90" s="228"/>
      <c r="D90" s="229"/>
      <c r="E90" s="229"/>
      <c r="F90" s="229"/>
      <c r="G90" s="229"/>
      <c r="H90" s="229"/>
      <c r="I90" s="229"/>
      <c r="J90" s="220"/>
      <c r="K90" s="216"/>
      <c r="L90" s="216"/>
      <c r="M90" s="217"/>
      <c r="N90" s="217"/>
      <c r="O90" s="217"/>
      <c r="P90" s="213" t="str">
        <f t="shared" si="14"/>
        <v>No</v>
      </c>
      <c r="Q90" s="148" t="str">
        <f t="shared" si="15"/>
        <v>No</v>
      </c>
      <c r="R90" t="e">
        <f>VLOOKUP(F90, Property!A:B, 2,0)</f>
        <v>#N/A</v>
      </c>
      <c r="T90">
        <f t="shared" si="16"/>
        <v>0</v>
      </c>
      <c r="U90">
        <f t="shared" si="17"/>
        <v>0</v>
      </c>
      <c r="V90">
        <f t="shared" si="18"/>
        <v>0</v>
      </c>
      <c r="W90">
        <f t="shared" si="19"/>
        <v>0</v>
      </c>
      <c r="X90">
        <f t="shared" si="20"/>
        <v>0</v>
      </c>
      <c r="Y90">
        <f t="shared" si="21"/>
        <v>0</v>
      </c>
      <c r="Z90" s="150" t="str">
        <f t="shared" si="22"/>
        <v>No</v>
      </c>
      <c r="AA90" s="150" t="str">
        <f t="shared" si="23"/>
        <v>No</v>
      </c>
      <c r="AB90">
        <f t="shared" si="24"/>
        <v>0</v>
      </c>
      <c r="AC90">
        <f t="shared" si="25"/>
        <v>0</v>
      </c>
      <c r="AD90" t="str">
        <f t="shared" si="26"/>
        <v>No</v>
      </c>
      <c r="AE90" t="str">
        <f t="shared" si="27"/>
        <v>No</v>
      </c>
    </row>
    <row r="91" spans="1:31" x14ac:dyDescent="0.25">
      <c r="A91" s="227"/>
      <c r="B91" s="228"/>
      <c r="C91" s="228"/>
      <c r="D91" s="229"/>
      <c r="E91" s="229"/>
      <c r="F91" s="229"/>
      <c r="G91" s="229"/>
      <c r="H91" s="230"/>
      <c r="I91" s="229"/>
      <c r="J91" s="220"/>
      <c r="K91" s="216"/>
      <c r="L91" s="216"/>
      <c r="M91" s="217"/>
      <c r="N91" s="217"/>
      <c r="O91" s="217"/>
      <c r="P91" s="213" t="str">
        <f t="shared" si="14"/>
        <v>No</v>
      </c>
      <c r="Q91" s="148" t="str">
        <f t="shared" si="15"/>
        <v>No</v>
      </c>
      <c r="R91" t="e">
        <f>VLOOKUP(F91, Property!A:B, 2,0)</f>
        <v>#N/A</v>
      </c>
      <c r="T91">
        <f t="shared" si="16"/>
        <v>0</v>
      </c>
      <c r="U91">
        <f t="shared" si="17"/>
        <v>0</v>
      </c>
      <c r="V91">
        <f t="shared" si="18"/>
        <v>0</v>
      </c>
      <c r="W91">
        <f t="shared" si="19"/>
        <v>0</v>
      </c>
      <c r="X91">
        <f t="shared" si="20"/>
        <v>0</v>
      </c>
      <c r="Y91">
        <f t="shared" si="21"/>
        <v>0</v>
      </c>
      <c r="Z91" s="150" t="str">
        <f t="shared" si="22"/>
        <v>No</v>
      </c>
      <c r="AA91" s="150" t="str">
        <f t="shared" si="23"/>
        <v>No</v>
      </c>
      <c r="AB91">
        <f t="shared" si="24"/>
        <v>0</v>
      </c>
      <c r="AC91">
        <f t="shared" si="25"/>
        <v>0</v>
      </c>
      <c r="AD91" t="str">
        <f t="shared" si="26"/>
        <v>No</v>
      </c>
      <c r="AE91" t="str">
        <f t="shared" si="27"/>
        <v>No</v>
      </c>
    </row>
    <row r="92" spans="1:31" x14ac:dyDescent="0.25">
      <c r="A92" s="227"/>
      <c r="B92" s="228"/>
      <c r="C92" s="228"/>
      <c r="D92" s="229"/>
      <c r="E92" s="229"/>
      <c r="F92" s="229"/>
      <c r="G92" s="229"/>
      <c r="H92" s="230"/>
      <c r="I92" s="229"/>
      <c r="J92" s="220"/>
      <c r="K92" s="216"/>
      <c r="L92" s="216"/>
      <c r="M92" s="217"/>
      <c r="N92" s="217"/>
      <c r="O92" s="219"/>
      <c r="P92" s="213" t="str">
        <f t="shared" si="14"/>
        <v>No</v>
      </c>
      <c r="Q92" s="148" t="str">
        <f t="shared" si="15"/>
        <v>No</v>
      </c>
      <c r="R92" t="e">
        <f>VLOOKUP(F92, Property!A:B, 2,0)</f>
        <v>#N/A</v>
      </c>
      <c r="T92">
        <f t="shared" si="16"/>
        <v>0</v>
      </c>
      <c r="U92">
        <f t="shared" si="17"/>
        <v>0</v>
      </c>
      <c r="V92">
        <f t="shared" si="18"/>
        <v>0</v>
      </c>
      <c r="W92">
        <f t="shared" si="19"/>
        <v>0</v>
      </c>
      <c r="X92">
        <f t="shared" si="20"/>
        <v>0</v>
      </c>
      <c r="Y92">
        <f t="shared" si="21"/>
        <v>0</v>
      </c>
      <c r="Z92" s="150" t="str">
        <f t="shared" si="22"/>
        <v>No</v>
      </c>
      <c r="AA92" s="150" t="str">
        <f t="shared" si="23"/>
        <v>No</v>
      </c>
      <c r="AB92">
        <f t="shared" si="24"/>
        <v>0</v>
      </c>
      <c r="AC92">
        <f t="shared" si="25"/>
        <v>0</v>
      </c>
      <c r="AD92" t="str">
        <f t="shared" si="26"/>
        <v>No</v>
      </c>
      <c r="AE92" t="str">
        <f t="shared" si="27"/>
        <v>No</v>
      </c>
    </row>
    <row r="93" spans="1:31" x14ac:dyDescent="0.25">
      <c r="A93" s="227"/>
      <c r="B93" s="228"/>
      <c r="C93" s="228"/>
      <c r="D93" s="229"/>
      <c r="E93" s="229"/>
      <c r="F93" s="229"/>
      <c r="G93" s="229"/>
      <c r="H93" s="230"/>
      <c r="I93" s="229"/>
      <c r="J93" s="220"/>
      <c r="K93" s="216"/>
      <c r="L93" s="216"/>
      <c r="M93" s="217"/>
      <c r="N93" s="217"/>
      <c r="O93" s="217"/>
      <c r="P93" s="213" t="str">
        <f t="shared" si="14"/>
        <v>No</v>
      </c>
      <c r="Q93" s="148" t="str">
        <f t="shared" si="15"/>
        <v>No</v>
      </c>
      <c r="R93" t="e">
        <f>VLOOKUP(F93, Property!A:B, 2,0)</f>
        <v>#N/A</v>
      </c>
      <c r="T93">
        <f t="shared" si="16"/>
        <v>0</v>
      </c>
      <c r="U93">
        <f t="shared" si="17"/>
        <v>0</v>
      </c>
      <c r="V93">
        <f t="shared" si="18"/>
        <v>0</v>
      </c>
      <c r="W93">
        <f t="shared" si="19"/>
        <v>0</v>
      </c>
      <c r="X93">
        <f t="shared" si="20"/>
        <v>0</v>
      </c>
      <c r="Y93">
        <f t="shared" si="21"/>
        <v>0</v>
      </c>
      <c r="Z93" s="150" t="str">
        <f t="shared" si="22"/>
        <v>No</v>
      </c>
      <c r="AA93" s="150" t="str">
        <f t="shared" si="23"/>
        <v>No</v>
      </c>
      <c r="AB93">
        <f t="shared" si="24"/>
        <v>0</v>
      </c>
      <c r="AC93">
        <f t="shared" si="25"/>
        <v>0</v>
      </c>
      <c r="AD93" t="str">
        <f t="shared" si="26"/>
        <v>No</v>
      </c>
      <c r="AE93" t="str">
        <f t="shared" si="27"/>
        <v>No</v>
      </c>
    </row>
    <row r="94" spans="1:31" x14ac:dyDescent="0.25">
      <c r="A94" s="227"/>
      <c r="B94" s="228"/>
      <c r="C94" s="228"/>
      <c r="D94" s="229"/>
      <c r="E94" s="229"/>
      <c r="F94" s="229"/>
      <c r="G94" s="229"/>
      <c r="H94" s="230"/>
      <c r="I94" s="229"/>
      <c r="J94" s="220"/>
      <c r="K94" s="216"/>
      <c r="L94" s="216"/>
      <c r="M94" s="217"/>
      <c r="N94" s="217"/>
      <c r="O94" s="217"/>
      <c r="P94" s="213" t="str">
        <f t="shared" si="14"/>
        <v>No</v>
      </c>
      <c r="Q94" s="148" t="str">
        <f t="shared" si="15"/>
        <v>No</v>
      </c>
      <c r="R94" t="e">
        <f>VLOOKUP(F94, Property!A:B, 2,0)</f>
        <v>#N/A</v>
      </c>
      <c r="T94">
        <f t="shared" si="16"/>
        <v>0</v>
      </c>
      <c r="U94">
        <f t="shared" si="17"/>
        <v>0</v>
      </c>
      <c r="V94">
        <f t="shared" si="18"/>
        <v>0</v>
      </c>
      <c r="W94">
        <f t="shared" si="19"/>
        <v>0</v>
      </c>
      <c r="X94">
        <f t="shared" si="20"/>
        <v>0</v>
      </c>
      <c r="Y94">
        <f t="shared" si="21"/>
        <v>0</v>
      </c>
      <c r="Z94" s="150" t="str">
        <f t="shared" si="22"/>
        <v>No</v>
      </c>
      <c r="AA94" s="150" t="str">
        <f t="shared" si="23"/>
        <v>No</v>
      </c>
      <c r="AB94">
        <f t="shared" si="24"/>
        <v>0</v>
      </c>
      <c r="AC94">
        <f t="shared" si="25"/>
        <v>0</v>
      </c>
      <c r="AD94" t="str">
        <f t="shared" si="26"/>
        <v>No</v>
      </c>
      <c r="AE94" t="str">
        <f t="shared" si="27"/>
        <v>No</v>
      </c>
    </row>
    <row r="95" spans="1:31" x14ac:dyDescent="0.25">
      <c r="A95" s="227"/>
      <c r="B95" s="228"/>
      <c r="C95" s="228"/>
      <c r="D95" s="229"/>
      <c r="E95" s="229"/>
      <c r="F95" s="229"/>
      <c r="G95" s="229"/>
      <c r="H95" s="230"/>
      <c r="I95" s="229"/>
      <c r="J95" s="220"/>
      <c r="K95" s="216"/>
      <c r="L95" s="216"/>
      <c r="M95" s="217"/>
      <c r="N95" s="217"/>
      <c r="O95" s="217"/>
      <c r="P95" s="213" t="str">
        <f t="shared" si="14"/>
        <v>No</v>
      </c>
      <c r="Q95" s="148" t="str">
        <f t="shared" si="15"/>
        <v>No</v>
      </c>
      <c r="R95" t="e">
        <f>VLOOKUP(F95, Property!A:B, 2,0)</f>
        <v>#N/A</v>
      </c>
      <c r="T95">
        <f t="shared" si="16"/>
        <v>0</v>
      </c>
      <c r="U95">
        <f t="shared" si="17"/>
        <v>0</v>
      </c>
      <c r="V95">
        <f t="shared" si="18"/>
        <v>0</v>
      </c>
      <c r="W95">
        <f t="shared" si="19"/>
        <v>0</v>
      </c>
      <c r="X95">
        <f t="shared" si="20"/>
        <v>0</v>
      </c>
      <c r="Y95">
        <f t="shared" si="21"/>
        <v>0</v>
      </c>
      <c r="Z95" s="150" t="str">
        <f t="shared" si="22"/>
        <v>No</v>
      </c>
      <c r="AA95" s="150" t="str">
        <f t="shared" si="23"/>
        <v>No</v>
      </c>
      <c r="AB95">
        <f t="shared" si="24"/>
        <v>0</v>
      </c>
      <c r="AC95">
        <f t="shared" si="25"/>
        <v>0</v>
      </c>
      <c r="AD95" t="str">
        <f t="shared" si="26"/>
        <v>No</v>
      </c>
      <c r="AE95" t="str">
        <f t="shared" si="27"/>
        <v>No</v>
      </c>
    </row>
    <row r="96" spans="1:31" x14ac:dyDescent="0.25">
      <c r="A96" s="227"/>
      <c r="B96" s="228"/>
      <c r="C96" s="228"/>
      <c r="D96" s="229"/>
      <c r="E96" s="229"/>
      <c r="F96" s="229"/>
      <c r="G96" s="229"/>
      <c r="H96" s="230"/>
      <c r="I96" s="229"/>
      <c r="J96" s="220"/>
      <c r="K96" s="216"/>
      <c r="L96" s="216"/>
      <c r="M96" s="217"/>
      <c r="N96" s="217"/>
      <c r="O96" s="217"/>
      <c r="P96" s="213" t="str">
        <f t="shared" si="14"/>
        <v>No</v>
      </c>
      <c r="Q96" s="148" t="str">
        <f t="shared" si="15"/>
        <v>No</v>
      </c>
      <c r="R96" t="e">
        <f>VLOOKUP(F96, Property!A:B, 2,0)</f>
        <v>#N/A</v>
      </c>
      <c r="T96">
        <f t="shared" si="16"/>
        <v>0</v>
      </c>
      <c r="U96">
        <f t="shared" si="17"/>
        <v>0</v>
      </c>
      <c r="V96">
        <f t="shared" si="18"/>
        <v>0</v>
      </c>
      <c r="W96">
        <f t="shared" si="19"/>
        <v>0</v>
      </c>
      <c r="X96">
        <f t="shared" si="20"/>
        <v>0</v>
      </c>
      <c r="Y96">
        <f t="shared" si="21"/>
        <v>0</v>
      </c>
      <c r="Z96" s="150" t="str">
        <f t="shared" si="22"/>
        <v>No</v>
      </c>
      <c r="AA96" s="150" t="str">
        <f t="shared" si="23"/>
        <v>No</v>
      </c>
      <c r="AB96">
        <f t="shared" si="24"/>
        <v>0</v>
      </c>
      <c r="AC96">
        <f t="shared" si="25"/>
        <v>0</v>
      </c>
      <c r="AD96" t="str">
        <f t="shared" si="26"/>
        <v>No</v>
      </c>
      <c r="AE96" t="str">
        <f t="shared" si="27"/>
        <v>No</v>
      </c>
    </row>
    <row r="97" spans="1:31" x14ac:dyDescent="0.25">
      <c r="A97" s="227"/>
      <c r="B97" s="228"/>
      <c r="C97" s="228"/>
      <c r="D97" s="229"/>
      <c r="E97" s="229"/>
      <c r="F97" s="229"/>
      <c r="G97" s="229"/>
      <c r="H97" s="230"/>
      <c r="I97" s="229"/>
      <c r="J97" s="220"/>
      <c r="K97" s="216"/>
      <c r="L97" s="216"/>
      <c r="M97" s="217"/>
      <c r="N97" s="217"/>
      <c r="O97" s="217"/>
      <c r="P97" s="213" t="str">
        <f t="shared" si="14"/>
        <v>No</v>
      </c>
      <c r="Q97" s="148" t="str">
        <f t="shared" si="15"/>
        <v>No</v>
      </c>
      <c r="R97" t="e">
        <f>VLOOKUP(F97, Property!A:B, 2,0)</f>
        <v>#N/A</v>
      </c>
      <c r="T97">
        <f t="shared" si="16"/>
        <v>0</v>
      </c>
      <c r="U97">
        <f t="shared" si="17"/>
        <v>0</v>
      </c>
      <c r="V97">
        <f t="shared" si="18"/>
        <v>0</v>
      </c>
      <c r="W97">
        <f t="shared" si="19"/>
        <v>0</v>
      </c>
      <c r="X97">
        <f t="shared" si="20"/>
        <v>0</v>
      </c>
      <c r="Y97">
        <f t="shared" si="21"/>
        <v>0</v>
      </c>
      <c r="Z97" s="150" t="str">
        <f t="shared" si="22"/>
        <v>No</v>
      </c>
      <c r="AA97" s="150" t="str">
        <f t="shared" si="23"/>
        <v>No</v>
      </c>
      <c r="AB97">
        <f t="shared" si="24"/>
        <v>0</v>
      </c>
      <c r="AC97">
        <f t="shared" si="25"/>
        <v>0</v>
      </c>
      <c r="AD97" t="str">
        <f t="shared" si="26"/>
        <v>No</v>
      </c>
      <c r="AE97" t="str">
        <f t="shared" si="27"/>
        <v>No</v>
      </c>
    </row>
    <row r="98" spans="1:31" x14ac:dyDescent="0.25">
      <c r="A98" s="227"/>
      <c r="B98" s="228"/>
      <c r="C98" s="228"/>
      <c r="D98" s="229"/>
      <c r="E98" s="229"/>
      <c r="F98" s="229"/>
      <c r="G98" s="229"/>
      <c r="H98" s="230"/>
      <c r="I98" s="229"/>
      <c r="J98" s="220"/>
      <c r="K98" s="216"/>
      <c r="L98" s="216"/>
      <c r="M98" s="217"/>
      <c r="N98" s="217"/>
      <c r="O98" s="217"/>
      <c r="P98" s="213" t="str">
        <f t="shared" si="14"/>
        <v>No</v>
      </c>
      <c r="Q98" s="148" t="str">
        <f t="shared" si="15"/>
        <v>No</v>
      </c>
      <c r="R98" t="e">
        <f>VLOOKUP(F98, Property!A:B, 2,0)</f>
        <v>#N/A</v>
      </c>
      <c r="T98">
        <f t="shared" si="16"/>
        <v>0</v>
      </c>
      <c r="U98">
        <f t="shared" si="17"/>
        <v>0</v>
      </c>
      <c r="V98">
        <f t="shared" si="18"/>
        <v>0</v>
      </c>
      <c r="W98">
        <f t="shared" si="19"/>
        <v>0</v>
      </c>
      <c r="X98">
        <f t="shared" si="20"/>
        <v>0</v>
      </c>
      <c r="Y98">
        <f t="shared" si="21"/>
        <v>0</v>
      </c>
      <c r="Z98" s="150" t="str">
        <f t="shared" si="22"/>
        <v>No</v>
      </c>
      <c r="AA98" s="150" t="str">
        <f t="shared" si="23"/>
        <v>No</v>
      </c>
      <c r="AB98">
        <f t="shared" si="24"/>
        <v>0</v>
      </c>
      <c r="AC98">
        <f t="shared" si="25"/>
        <v>0</v>
      </c>
      <c r="AD98" t="str">
        <f t="shared" si="26"/>
        <v>No</v>
      </c>
      <c r="AE98" t="str">
        <f t="shared" si="27"/>
        <v>No</v>
      </c>
    </row>
    <row r="99" spans="1:31" x14ac:dyDescent="0.25">
      <c r="A99" s="227"/>
      <c r="B99" s="228"/>
      <c r="C99" s="228"/>
      <c r="D99" s="229"/>
      <c r="E99" s="229"/>
      <c r="F99" s="229"/>
      <c r="G99" s="229"/>
      <c r="H99" s="229"/>
      <c r="I99" s="229"/>
      <c r="J99" s="220"/>
      <c r="K99" s="216"/>
      <c r="L99" s="216"/>
      <c r="M99" s="217"/>
      <c r="N99" s="217"/>
      <c r="O99" s="217"/>
      <c r="P99" s="213" t="str">
        <f t="shared" si="14"/>
        <v>No</v>
      </c>
      <c r="Q99" s="148" t="str">
        <f t="shared" si="15"/>
        <v>No</v>
      </c>
      <c r="R99" t="e">
        <f>VLOOKUP(F99, Property!A:B, 2,0)</f>
        <v>#N/A</v>
      </c>
      <c r="T99">
        <f t="shared" si="16"/>
        <v>0</v>
      </c>
      <c r="U99">
        <f t="shared" si="17"/>
        <v>0</v>
      </c>
      <c r="V99">
        <f t="shared" si="18"/>
        <v>0</v>
      </c>
      <c r="W99">
        <f t="shared" si="19"/>
        <v>0</v>
      </c>
      <c r="X99">
        <f t="shared" si="20"/>
        <v>0</v>
      </c>
      <c r="Y99">
        <f t="shared" si="21"/>
        <v>0</v>
      </c>
      <c r="Z99" s="150" t="str">
        <f t="shared" si="22"/>
        <v>No</v>
      </c>
      <c r="AA99" s="150" t="str">
        <f t="shared" si="23"/>
        <v>No</v>
      </c>
      <c r="AB99">
        <f t="shared" si="24"/>
        <v>0</v>
      </c>
      <c r="AC99">
        <f t="shared" si="25"/>
        <v>0</v>
      </c>
      <c r="AD99" t="str">
        <f t="shared" si="26"/>
        <v>No</v>
      </c>
      <c r="AE99" t="str">
        <f t="shared" si="27"/>
        <v>No</v>
      </c>
    </row>
    <row r="100" spans="1:31" x14ac:dyDescent="0.25">
      <c r="A100" s="227"/>
      <c r="B100" s="228"/>
      <c r="C100" s="228"/>
      <c r="D100" s="229"/>
      <c r="E100" s="229"/>
      <c r="F100" s="229"/>
      <c r="G100" s="229"/>
      <c r="H100" s="229"/>
      <c r="I100" s="229"/>
      <c r="J100" s="220"/>
      <c r="K100" s="216"/>
      <c r="L100" s="216"/>
      <c r="M100" s="217"/>
      <c r="N100" s="217"/>
      <c r="O100" s="217"/>
      <c r="P100" s="213" t="str">
        <f t="shared" si="14"/>
        <v>No</v>
      </c>
      <c r="Q100" s="148" t="str">
        <f t="shared" si="15"/>
        <v>No</v>
      </c>
      <c r="R100" t="e">
        <f>VLOOKUP(F100, Property!A:B, 2,0)</f>
        <v>#N/A</v>
      </c>
      <c r="T100">
        <f t="shared" si="16"/>
        <v>0</v>
      </c>
      <c r="U100">
        <f t="shared" si="17"/>
        <v>0</v>
      </c>
      <c r="V100">
        <f t="shared" si="18"/>
        <v>0</v>
      </c>
      <c r="W100">
        <f t="shared" si="19"/>
        <v>0</v>
      </c>
      <c r="X100">
        <f t="shared" si="20"/>
        <v>0</v>
      </c>
      <c r="Y100">
        <f t="shared" si="21"/>
        <v>0</v>
      </c>
      <c r="Z100" s="150" t="str">
        <f t="shared" si="22"/>
        <v>No</v>
      </c>
      <c r="AA100" s="150" t="str">
        <f t="shared" si="23"/>
        <v>No</v>
      </c>
      <c r="AB100">
        <f t="shared" si="24"/>
        <v>0</v>
      </c>
      <c r="AC100">
        <f t="shared" si="25"/>
        <v>0</v>
      </c>
      <c r="AD100" t="str">
        <f t="shared" si="26"/>
        <v>No</v>
      </c>
      <c r="AE100" t="str">
        <f t="shared" si="27"/>
        <v>No</v>
      </c>
    </row>
    <row r="101" spans="1:31" x14ac:dyDescent="0.25">
      <c r="A101" s="227"/>
      <c r="B101" s="228"/>
      <c r="C101" s="228"/>
      <c r="D101" s="229"/>
      <c r="E101" s="229"/>
      <c r="F101" s="229"/>
      <c r="G101" s="229"/>
      <c r="H101" s="229"/>
      <c r="I101" s="229"/>
      <c r="J101" s="220"/>
      <c r="K101" s="216"/>
      <c r="L101" s="216"/>
      <c r="M101" s="217"/>
      <c r="N101" s="217"/>
      <c r="O101" s="217"/>
      <c r="P101" s="213" t="str">
        <f t="shared" si="14"/>
        <v>No</v>
      </c>
      <c r="Q101" s="148" t="str">
        <f t="shared" si="15"/>
        <v>No</v>
      </c>
      <c r="R101" t="e">
        <f>VLOOKUP(F101, Property!A:B, 2,0)</f>
        <v>#N/A</v>
      </c>
      <c r="T101">
        <f t="shared" si="16"/>
        <v>0</v>
      </c>
      <c r="U101">
        <f t="shared" si="17"/>
        <v>0</v>
      </c>
      <c r="V101">
        <f t="shared" si="18"/>
        <v>0</v>
      </c>
      <c r="W101">
        <f t="shared" si="19"/>
        <v>0</v>
      </c>
      <c r="X101">
        <f t="shared" si="20"/>
        <v>0</v>
      </c>
      <c r="Y101">
        <f t="shared" si="21"/>
        <v>0</v>
      </c>
      <c r="Z101" s="150" t="str">
        <f t="shared" si="22"/>
        <v>No</v>
      </c>
      <c r="AA101" s="150" t="str">
        <f t="shared" si="23"/>
        <v>No</v>
      </c>
      <c r="AB101">
        <f t="shared" si="24"/>
        <v>0</v>
      </c>
      <c r="AC101">
        <f t="shared" si="25"/>
        <v>0</v>
      </c>
      <c r="AD101" t="str">
        <f t="shared" si="26"/>
        <v>No</v>
      </c>
      <c r="AE101" t="str">
        <f t="shared" si="27"/>
        <v>No</v>
      </c>
    </row>
    <row r="102" spans="1:31" x14ac:dyDescent="0.25">
      <c r="A102" s="227"/>
      <c r="B102" s="228"/>
      <c r="C102" s="228"/>
      <c r="D102" s="229"/>
      <c r="E102" s="229"/>
      <c r="F102" s="229"/>
      <c r="G102" s="229"/>
      <c r="H102" s="229"/>
      <c r="I102" s="229"/>
      <c r="J102" s="220"/>
      <c r="K102" s="216"/>
      <c r="L102" s="216"/>
      <c r="M102" s="217"/>
      <c r="N102" s="217"/>
      <c r="O102" s="217"/>
      <c r="P102" s="213" t="str">
        <f t="shared" si="14"/>
        <v>No</v>
      </c>
      <c r="Q102" s="148" t="str">
        <f t="shared" si="15"/>
        <v>No</v>
      </c>
      <c r="R102" t="e">
        <f>VLOOKUP(F102, Property!A:B, 2,0)</f>
        <v>#N/A</v>
      </c>
      <c r="T102">
        <f t="shared" si="16"/>
        <v>0</v>
      </c>
      <c r="U102">
        <f t="shared" si="17"/>
        <v>0</v>
      </c>
      <c r="V102">
        <f t="shared" si="18"/>
        <v>0</v>
      </c>
      <c r="W102">
        <f t="shared" si="19"/>
        <v>0</v>
      </c>
      <c r="X102">
        <f t="shared" si="20"/>
        <v>0</v>
      </c>
      <c r="Y102">
        <f t="shared" si="21"/>
        <v>0</v>
      </c>
      <c r="Z102" s="150" t="str">
        <f t="shared" si="22"/>
        <v>No</v>
      </c>
      <c r="AA102" s="150" t="str">
        <f t="shared" si="23"/>
        <v>No</v>
      </c>
      <c r="AB102">
        <f t="shared" si="24"/>
        <v>0</v>
      </c>
      <c r="AC102">
        <f t="shared" si="25"/>
        <v>0</v>
      </c>
      <c r="AD102" t="str">
        <f t="shared" si="26"/>
        <v>No</v>
      </c>
      <c r="AE102" t="str">
        <f t="shared" si="27"/>
        <v>No</v>
      </c>
    </row>
    <row r="103" spans="1:31" x14ac:dyDescent="0.25">
      <c r="A103" s="227"/>
      <c r="B103" s="228"/>
      <c r="C103" s="228"/>
      <c r="D103" s="229"/>
      <c r="E103" s="229"/>
      <c r="F103" s="229"/>
      <c r="G103" s="229"/>
      <c r="H103" s="229"/>
      <c r="I103" s="229"/>
      <c r="J103" s="220"/>
      <c r="K103" s="216"/>
      <c r="L103" s="216"/>
      <c r="M103" s="217"/>
      <c r="N103" s="217"/>
      <c r="O103" s="217"/>
      <c r="P103" s="213" t="str">
        <f t="shared" si="14"/>
        <v>No</v>
      </c>
      <c r="Q103" s="148" t="str">
        <f t="shared" si="15"/>
        <v>No</v>
      </c>
      <c r="R103" t="e">
        <f>VLOOKUP(F103, Property!A:B, 2,0)</f>
        <v>#N/A</v>
      </c>
      <c r="T103">
        <f t="shared" si="16"/>
        <v>0</v>
      </c>
      <c r="U103">
        <f t="shared" si="17"/>
        <v>0</v>
      </c>
      <c r="V103">
        <f t="shared" si="18"/>
        <v>0</v>
      </c>
      <c r="W103">
        <f t="shared" si="19"/>
        <v>0</v>
      </c>
      <c r="X103">
        <f t="shared" si="20"/>
        <v>0</v>
      </c>
      <c r="Y103">
        <f t="shared" si="21"/>
        <v>0</v>
      </c>
      <c r="Z103" s="150" t="str">
        <f t="shared" si="22"/>
        <v>No</v>
      </c>
      <c r="AA103" s="150" t="str">
        <f t="shared" si="23"/>
        <v>No</v>
      </c>
      <c r="AB103">
        <f t="shared" si="24"/>
        <v>0</v>
      </c>
      <c r="AC103">
        <f t="shared" si="25"/>
        <v>0</v>
      </c>
      <c r="AD103" t="str">
        <f t="shared" si="26"/>
        <v>No</v>
      </c>
      <c r="AE103" t="str">
        <f t="shared" si="27"/>
        <v>No</v>
      </c>
    </row>
    <row r="104" spans="1:31" x14ac:dyDescent="0.25">
      <c r="A104" s="227"/>
      <c r="B104" s="228"/>
      <c r="C104" s="228"/>
      <c r="D104" s="229"/>
      <c r="E104" s="229"/>
      <c r="F104" s="229"/>
      <c r="G104" s="229"/>
      <c r="H104" s="229"/>
      <c r="I104" s="229"/>
      <c r="J104" s="220"/>
      <c r="K104" s="216"/>
      <c r="L104" s="216"/>
      <c r="M104" s="217"/>
      <c r="N104" s="217"/>
      <c r="O104" s="217"/>
      <c r="P104" s="213" t="str">
        <f t="shared" si="14"/>
        <v>No</v>
      </c>
      <c r="Q104" s="148" t="str">
        <f t="shared" si="15"/>
        <v>No</v>
      </c>
      <c r="R104" t="e">
        <f>VLOOKUP(F104, Property!A:B, 2,0)</f>
        <v>#N/A</v>
      </c>
      <c r="T104">
        <f t="shared" si="16"/>
        <v>0</v>
      </c>
      <c r="U104">
        <f t="shared" si="17"/>
        <v>0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 s="150" t="str">
        <f t="shared" si="22"/>
        <v>No</v>
      </c>
      <c r="AA104" s="150" t="str">
        <f t="shared" si="23"/>
        <v>No</v>
      </c>
      <c r="AB104">
        <f t="shared" si="24"/>
        <v>0</v>
      </c>
      <c r="AC104">
        <f t="shared" si="25"/>
        <v>0</v>
      </c>
      <c r="AD104" t="str">
        <f t="shared" si="26"/>
        <v>No</v>
      </c>
      <c r="AE104" t="str">
        <f t="shared" si="27"/>
        <v>No</v>
      </c>
    </row>
    <row r="105" spans="1:31" x14ac:dyDescent="0.25">
      <c r="A105" s="227"/>
      <c r="B105" s="228"/>
      <c r="C105" s="228"/>
      <c r="D105" s="229"/>
      <c r="E105" s="229"/>
      <c r="F105" s="229"/>
      <c r="G105" s="229"/>
      <c r="H105" s="229"/>
      <c r="I105" s="229"/>
      <c r="J105" s="220"/>
      <c r="K105" s="216"/>
      <c r="L105" s="216"/>
      <c r="M105" s="217"/>
      <c r="N105" s="217"/>
      <c r="O105" s="217"/>
      <c r="P105" s="213" t="str">
        <f t="shared" si="14"/>
        <v>No</v>
      </c>
      <c r="Q105" s="148" t="str">
        <f t="shared" si="15"/>
        <v>No</v>
      </c>
      <c r="R105" t="e">
        <f>VLOOKUP(F105, Property!A:B, 2,0)</f>
        <v>#N/A</v>
      </c>
      <c r="T105">
        <f t="shared" si="16"/>
        <v>0</v>
      </c>
      <c r="U105">
        <f t="shared" si="17"/>
        <v>0</v>
      </c>
      <c r="V105">
        <f t="shared" si="18"/>
        <v>0</v>
      </c>
      <c r="W105">
        <f t="shared" si="19"/>
        <v>0</v>
      </c>
      <c r="X105">
        <f t="shared" si="20"/>
        <v>0</v>
      </c>
      <c r="Y105">
        <f t="shared" si="21"/>
        <v>0</v>
      </c>
      <c r="Z105" s="150" t="str">
        <f t="shared" si="22"/>
        <v>No</v>
      </c>
      <c r="AA105" s="150" t="str">
        <f t="shared" si="23"/>
        <v>No</v>
      </c>
      <c r="AB105">
        <f t="shared" si="24"/>
        <v>0</v>
      </c>
      <c r="AC105">
        <f t="shared" si="25"/>
        <v>0</v>
      </c>
      <c r="AD105" t="str">
        <f t="shared" si="26"/>
        <v>No</v>
      </c>
      <c r="AE105" t="str">
        <f t="shared" si="27"/>
        <v>No</v>
      </c>
    </row>
    <row r="106" spans="1:31" x14ac:dyDescent="0.25">
      <c r="A106" s="227"/>
      <c r="B106" s="228"/>
      <c r="C106" s="228"/>
      <c r="D106" s="229"/>
      <c r="E106" s="229"/>
      <c r="F106" s="229"/>
      <c r="G106" s="229"/>
      <c r="H106" s="229"/>
      <c r="I106" s="229"/>
      <c r="J106" s="220"/>
      <c r="K106" s="216"/>
      <c r="L106" s="216"/>
      <c r="M106" s="217"/>
      <c r="N106" s="217"/>
      <c r="O106" s="217"/>
      <c r="P106" s="213" t="str">
        <f t="shared" si="14"/>
        <v>No</v>
      </c>
      <c r="Q106" s="148" t="str">
        <f t="shared" si="15"/>
        <v>No</v>
      </c>
      <c r="R106" t="e">
        <f>VLOOKUP(F106, Property!A:B, 2,0)</f>
        <v>#N/A</v>
      </c>
      <c r="T106">
        <f t="shared" si="16"/>
        <v>0</v>
      </c>
      <c r="U106">
        <f t="shared" si="17"/>
        <v>0</v>
      </c>
      <c r="V106">
        <f t="shared" si="18"/>
        <v>0</v>
      </c>
      <c r="W106">
        <f t="shared" si="19"/>
        <v>0</v>
      </c>
      <c r="X106">
        <f t="shared" si="20"/>
        <v>0</v>
      </c>
      <c r="Y106">
        <f t="shared" si="21"/>
        <v>0</v>
      </c>
      <c r="Z106" s="150" t="str">
        <f t="shared" si="22"/>
        <v>No</v>
      </c>
      <c r="AA106" s="150" t="str">
        <f t="shared" si="23"/>
        <v>No</v>
      </c>
      <c r="AB106">
        <f t="shared" si="24"/>
        <v>0</v>
      </c>
      <c r="AC106">
        <f t="shared" si="25"/>
        <v>0</v>
      </c>
      <c r="AD106" t="str">
        <f t="shared" si="26"/>
        <v>No</v>
      </c>
      <c r="AE106" t="str">
        <f t="shared" si="27"/>
        <v>No</v>
      </c>
    </row>
    <row r="107" spans="1:31" x14ac:dyDescent="0.25">
      <c r="A107" s="227"/>
      <c r="B107" s="228"/>
      <c r="C107" s="228"/>
      <c r="D107" s="229"/>
      <c r="E107" s="229"/>
      <c r="F107" s="229"/>
      <c r="G107" s="229"/>
      <c r="H107" s="229"/>
      <c r="I107" s="229"/>
      <c r="J107" s="220"/>
      <c r="K107" s="216"/>
      <c r="L107" s="216"/>
      <c r="M107" s="217"/>
      <c r="N107" s="217"/>
      <c r="O107" s="217"/>
      <c r="P107" s="213" t="str">
        <f t="shared" si="14"/>
        <v>No</v>
      </c>
      <c r="Q107" s="148" t="str">
        <f t="shared" si="15"/>
        <v>No</v>
      </c>
      <c r="R107" t="e">
        <f>VLOOKUP(F107, Property!A:B, 2,0)</f>
        <v>#N/A</v>
      </c>
      <c r="T107">
        <f t="shared" si="16"/>
        <v>0</v>
      </c>
      <c r="U107">
        <f t="shared" si="17"/>
        <v>0</v>
      </c>
      <c r="V107">
        <f t="shared" si="18"/>
        <v>0</v>
      </c>
      <c r="W107">
        <f t="shared" si="19"/>
        <v>0</v>
      </c>
      <c r="X107">
        <f t="shared" si="20"/>
        <v>0</v>
      </c>
      <c r="Y107">
        <f t="shared" si="21"/>
        <v>0</v>
      </c>
      <c r="Z107" s="150" t="str">
        <f t="shared" si="22"/>
        <v>No</v>
      </c>
      <c r="AA107" s="150" t="str">
        <f t="shared" si="23"/>
        <v>No</v>
      </c>
      <c r="AB107">
        <f t="shared" si="24"/>
        <v>0</v>
      </c>
      <c r="AC107">
        <f t="shared" si="25"/>
        <v>0</v>
      </c>
      <c r="AD107" t="str">
        <f t="shared" si="26"/>
        <v>No</v>
      </c>
      <c r="AE107" t="str">
        <f t="shared" si="27"/>
        <v>No</v>
      </c>
    </row>
    <row r="108" spans="1:31" x14ac:dyDescent="0.25">
      <c r="A108" s="227"/>
      <c r="B108" s="228"/>
      <c r="C108" s="228"/>
      <c r="D108" s="229"/>
      <c r="E108" s="229"/>
      <c r="F108" s="229"/>
      <c r="G108" s="229"/>
      <c r="H108" s="229"/>
      <c r="I108" s="229"/>
      <c r="J108" s="220"/>
      <c r="K108" s="216"/>
      <c r="L108" s="216"/>
      <c r="M108" s="217"/>
      <c r="N108" s="217"/>
      <c r="O108" s="217"/>
      <c r="P108" s="213" t="str">
        <f t="shared" si="14"/>
        <v>No</v>
      </c>
      <c r="Q108" s="148" t="str">
        <f t="shared" si="15"/>
        <v>No</v>
      </c>
      <c r="R108" t="e">
        <f>VLOOKUP(F108, Property!A:B, 2,0)</f>
        <v>#N/A</v>
      </c>
      <c r="T108">
        <f t="shared" si="16"/>
        <v>0</v>
      </c>
      <c r="U108">
        <f t="shared" si="17"/>
        <v>0</v>
      </c>
      <c r="V108">
        <f t="shared" si="18"/>
        <v>0</v>
      </c>
      <c r="W108">
        <f t="shared" si="19"/>
        <v>0</v>
      </c>
      <c r="X108">
        <f t="shared" si="20"/>
        <v>0</v>
      </c>
      <c r="Y108">
        <f t="shared" si="21"/>
        <v>0</v>
      </c>
      <c r="Z108" s="150" t="str">
        <f t="shared" si="22"/>
        <v>No</v>
      </c>
      <c r="AA108" s="150" t="str">
        <f t="shared" si="23"/>
        <v>No</v>
      </c>
      <c r="AB108">
        <f t="shared" si="24"/>
        <v>0</v>
      </c>
      <c r="AC108">
        <f t="shared" si="25"/>
        <v>0</v>
      </c>
      <c r="AD108" t="str">
        <f t="shared" si="26"/>
        <v>No</v>
      </c>
      <c r="AE108" t="str">
        <f t="shared" si="27"/>
        <v>No</v>
      </c>
    </row>
    <row r="109" spans="1:31" x14ac:dyDescent="0.25">
      <c r="A109" s="227"/>
      <c r="B109" s="228"/>
      <c r="C109" s="228"/>
      <c r="D109" s="229"/>
      <c r="E109" s="229"/>
      <c r="F109" s="229"/>
      <c r="G109" s="229"/>
      <c r="H109" s="229"/>
      <c r="I109" s="229"/>
      <c r="J109" s="220"/>
      <c r="K109" s="216"/>
      <c r="L109" s="216"/>
      <c r="M109" s="217"/>
      <c r="N109" s="217"/>
      <c r="O109" s="217"/>
      <c r="P109" s="213" t="str">
        <f t="shared" si="14"/>
        <v>No</v>
      </c>
      <c r="Q109" s="148" t="str">
        <f t="shared" si="15"/>
        <v>No</v>
      </c>
      <c r="R109" t="e">
        <f>VLOOKUP(F109, Property!A:B, 2,0)</f>
        <v>#N/A</v>
      </c>
      <c r="T109">
        <f t="shared" si="16"/>
        <v>0</v>
      </c>
      <c r="U109">
        <f t="shared" si="17"/>
        <v>0</v>
      </c>
      <c r="V109">
        <f t="shared" si="18"/>
        <v>0</v>
      </c>
      <c r="W109">
        <f t="shared" si="19"/>
        <v>0</v>
      </c>
      <c r="X109">
        <f t="shared" si="20"/>
        <v>0</v>
      </c>
      <c r="Y109">
        <f t="shared" si="21"/>
        <v>0</v>
      </c>
      <c r="Z109" s="150" t="str">
        <f t="shared" si="22"/>
        <v>No</v>
      </c>
      <c r="AA109" s="150" t="str">
        <f t="shared" si="23"/>
        <v>No</v>
      </c>
      <c r="AB109">
        <f t="shared" si="24"/>
        <v>0</v>
      </c>
      <c r="AC109">
        <f t="shared" si="25"/>
        <v>0</v>
      </c>
      <c r="AD109" t="str">
        <f t="shared" si="26"/>
        <v>No</v>
      </c>
      <c r="AE109" t="str">
        <f t="shared" si="27"/>
        <v>No</v>
      </c>
    </row>
    <row r="110" spans="1:31" x14ac:dyDescent="0.25">
      <c r="A110" s="227"/>
      <c r="B110" s="228"/>
      <c r="C110" s="228"/>
      <c r="D110" s="229"/>
      <c r="E110" s="229"/>
      <c r="F110" s="229"/>
      <c r="G110" s="229"/>
      <c r="H110" s="230"/>
      <c r="I110" s="229"/>
      <c r="J110" s="220"/>
      <c r="K110" s="216"/>
      <c r="L110" s="216"/>
      <c r="M110" s="217"/>
      <c r="N110" s="217"/>
      <c r="O110" s="217"/>
      <c r="P110" s="213" t="str">
        <f t="shared" si="14"/>
        <v>No</v>
      </c>
      <c r="Q110" s="148" t="str">
        <f t="shared" si="15"/>
        <v>No</v>
      </c>
      <c r="R110" t="e">
        <f>VLOOKUP(F110, Property!A:B, 2,0)</f>
        <v>#N/A</v>
      </c>
      <c r="T110">
        <f t="shared" si="16"/>
        <v>0</v>
      </c>
      <c r="U110">
        <f t="shared" si="17"/>
        <v>0</v>
      </c>
      <c r="V110">
        <f t="shared" si="18"/>
        <v>0</v>
      </c>
      <c r="W110">
        <f t="shared" si="19"/>
        <v>0</v>
      </c>
      <c r="X110">
        <f t="shared" si="20"/>
        <v>0</v>
      </c>
      <c r="Y110">
        <f t="shared" si="21"/>
        <v>0</v>
      </c>
      <c r="Z110" s="150" t="str">
        <f t="shared" si="22"/>
        <v>No</v>
      </c>
      <c r="AA110" s="150" t="str">
        <f t="shared" si="23"/>
        <v>No</v>
      </c>
      <c r="AB110">
        <f t="shared" si="24"/>
        <v>0</v>
      </c>
      <c r="AC110">
        <f t="shared" si="25"/>
        <v>0</v>
      </c>
      <c r="AD110" t="str">
        <f t="shared" si="26"/>
        <v>No</v>
      </c>
      <c r="AE110" t="str">
        <f t="shared" si="27"/>
        <v>No</v>
      </c>
    </row>
    <row r="111" spans="1:31" x14ac:dyDescent="0.25">
      <c r="A111" s="227"/>
      <c r="B111" s="228"/>
      <c r="C111" s="228"/>
      <c r="D111" s="229"/>
      <c r="E111" s="229"/>
      <c r="F111" s="229"/>
      <c r="G111" s="229"/>
      <c r="H111" s="230"/>
      <c r="I111" s="229"/>
      <c r="J111" s="220"/>
      <c r="K111" s="216"/>
      <c r="L111" s="216"/>
      <c r="M111" s="217"/>
      <c r="N111" s="217"/>
      <c r="O111" s="217"/>
      <c r="P111" s="213" t="str">
        <f t="shared" si="14"/>
        <v>No</v>
      </c>
      <c r="Q111" s="148" t="str">
        <f t="shared" si="15"/>
        <v>No</v>
      </c>
      <c r="R111" t="e">
        <f>VLOOKUP(F111, Property!A:B, 2,0)</f>
        <v>#N/A</v>
      </c>
      <c r="T111">
        <f t="shared" si="16"/>
        <v>0</v>
      </c>
      <c r="U111">
        <f t="shared" si="17"/>
        <v>0</v>
      </c>
      <c r="V111">
        <f t="shared" si="18"/>
        <v>0</v>
      </c>
      <c r="W111">
        <f t="shared" si="19"/>
        <v>0</v>
      </c>
      <c r="X111">
        <f t="shared" si="20"/>
        <v>0</v>
      </c>
      <c r="Y111">
        <f t="shared" si="21"/>
        <v>0</v>
      </c>
      <c r="Z111" s="150" t="str">
        <f t="shared" si="22"/>
        <v>No</v>
      </c>
      <c r="AA111" s="150" t="str">
        <f t="shared" si="23"/>
        <v>No</v>
      </c>
      <c r="AB111">
        <f t="shared" si="24"/>
        <v>0</v>
      </c>
      <c r="AC111">
        <f t="shared" si="25"/>
        <v>0</v>
      </c>
      <c r="AD111" t="str">
        <f t="shared" si="26"/>
        <v>No</v>
      </c>
      <c r="AE111" t="str">
        <f t="shared" si="27"/>
        <v>No</v>
      </c>
    </row>
    <row r="112" spans="1:31" x14ac:dyDescent="0.25">
      <c r="A112" s="227"/>
      <c r="B112" s="228"/>
      <c r="C112" s="228"/>
      <c r="D112" s="229"/>
      <c r="E112" s="229"/>
      <c r="F112" s="229"/>
      <c r="G112" s="229"/>
      <c r="H112" s="229"/>
      <c r="I112" s="229"/>
      <c r="J112" s="220"/>
      <c r="K112" s="216"/>
      <c r="L112" s="216"/>
      <c r="M112" s="217"/>
      <c r="N112" s="217"/>
      <c r="O112" s="217"/>
      <c r="P112" s="213" t="str">
        <f t="shared" si="14"/>
        <v>No</v>
      </c>
      <c r="Q112" s="148" t="str">
        <f t="shared" si="15"/>
        <v>No</v>
      </c>
      <c r="R112" t="e">
        <f>VLOOKUP(F112, Property!A:B, 2,0)</f>
        <v>#N/A</v>
      </c>
      <c r="T112">
        <f t="shared" si="16"/>
        <v>0</v>
      </c>
      <c r="U112">
        <f t="shared" si="17"/>
        <v>0</v>
      </c>
      <c r="V112">
        <f t="shared" si="18"/>
        <v>0</v>
      </c>
      <c r="W112">
        <f t="shared" si="19"/>
        <v>0</v>
      </c>
      <c r="X112">
        <f t="shared" si="20"/>
        <v>0</v>
      </c>
      <c r="Y112">
        <f t="shared" si="21"/>
        <v>0</v>
      </c>
      <c r="Z112" s="150" t="str">
        <f t="shared" si="22"/>
        <v>No</v>
      </c>
      <c r="AA112" s="150" t="str">
        <f t="shared" si="23"/>
        <v>No</v>
      </c>
      <c r="AB112">
        <f t="shared" si="24"/>
        <v>0</v>
      </c>
      <c r="AC112">
        <f t="shared" si="25"/>
        <v>0</v>
      </c>
      <c r="AD112" t="str">
        <f t="shared" si="26"/>
        <v>No</v>
      </c>
      <c r="AE112" t="str">
        <f t="shared" si="27"/>
        <v>No</v>
      </c>
    </row>
    <row r="113" spans="1:31" x14ac:dyDescent="0.25">
      <c r="A113" s="227"/>
      <c r="B113" s="228"/>
      <c r="C113" s="228"/>
      <c r="D113" s="229"/>
      <c r="E113" s="229"/>
      <c r="F113" s="229"/>
      <c r="G113" s="229"/>
      <c r="H113" s="230"/>
      <c r="I113" s="229"/>
      <c r="J113" s="220"/>
      <c r="K113" s="216"/>
      <c r="L113" s="216"/>
      <c r="M113" s="217"/>
      <c r="N113" s="217"/>
      <c r="O113" s="217"/>
      <c r="P113" s="213" t="str">
        <f t="shared" si="14"/>
        <v>No</v>
      </c>
      <c r="Q113" s="148" t="str">
        <f t="shared" si="15"/>
        <v>No</v>
      </c>
      <c r="R113" t="e">
        <f>VLOOKUP(F113, Property!A:B, 2,0)</f>
        <v>#N/A</v>
      </c>
      <c r="T113">
        <f t="shared" si="16"/>
        <v>0</v>
      </c>
      <c r="U113">
        <f t="shared" si="17"/>
        <v>0</v>
      </c>
      <c r="V113">
        <f t="shared" si="18"/>
        <v>0</v>
      </c>
      <c r="W113">
        <f t="shared" si="19"/>
        <v>0</v>
      </c>
      <c r="X113">
        <f t="shared" si="20"/>
        <v>0</v>
      </c>
      <c r="Y113">
        <f t="shared" si="21"/>
        <v>0</v>
      </c>
      <c r="Z113" s="150" t="str">
        <f t="shared" si="22"/>
        <v>No</v>
      </c>
      <c r="AA113" s="150" t="str">
        <f t="shared" si="23"/>
        <v>No</v>
      </c>
      <c r="AB113">
        <f t="shared" si="24"/>
        <v>0</v>
      </c>
      <c r="AC113">
        <f t="shared" si="25"/>
        <v>0</v>
      </c>
      <c r="AD113" t="str">
        <f t="shared" si="26"/>
        <v>No</v>
      </c>
      <c r="AE113" t="str">
        <f t="shared" si="27"/>
        <v>No</v>
      </c>
    </row>
    <row r="114" spans="1:31" x14ac:dyDescent="0.25">
      <c r="A114" s="227"/>
      <c r="B114" s="228"/>
      <c r="C114" s="228"/>
      <c r="D114" s="229"/>
      <c r="E114" s="229"/>
      <c r="F114" s="229"/>
      <c r="G114" s="229"/>
      <c r="H114" s="229"/>
      <c r="I114" s="229"/>
      <c r="J114" s="220"/>
      <c r="K114" s="216"/>
      <c r="L114" s="216"/>
      <c r="M114" s="217"/>
      <c r="N114" s="217"/>
      <c r="O114" s="217"/>
      <c r="P114" s="213" t="str">
        <f t="shared" si="14"/>
        <v>No</v>
      </c>
      <c r="Q114" s="148" t="str">
        <f t="shared" si="15"/>
        <v>No</v>
      </c>
      <c r="R114" t="e">
        <f>VLOOKUP(F114, Property!A:B, 2,0)</f>
        <v>#N/A</v>
      </c>
      <c r="T114">
        <f t="shared" si="16"/>
        <v>0</v>
      </c>
      <c r="U114">
        <f t="shared" si="17"/>
        <v>0</v>
      </c>
      <c r="V114">
        <f t="shared" si="18"/>
        <v>0</v>
      </c>
      <c r="W114">
        <f t="shared" si="19"/>
        <v>0</v>
      </c>
      <c r="X114">
        <f t="shared" si="20"/>
        <v>0</v>
      </c>
      <c r="Y114">
        <f t="shared" si="21"/>
        <v>0</v>
      </c>
      <c r="Z114" s="150" t="str">
        <f t="shared" si="22"/>
        <v>No</v>
      </c>
      <c r="AA114" s="150" t="str">
        <f t="shared" si="23"/>
        <v>No</v>
      </c>
      <c r="AB114">
        <f t="shared" si="24"/>
        <v>0</v>
      </c>
      <c r="AC114">
        <f t="shared" si="25"/>
        <v>0</v>
      </c>
      <c r="AD114" t="str">
        <f t="shared" si="26"/>
        <v>No</v>
      </c>
      <c r="AE114" t="str">
        <f t="shared" si="27"/>
        <v>No</v>
      </c>
    </row>
    <row r="115" spans="1:31" x14ac:dyDescent="0.25">
      <c r="A115" s="227"/>
      <c r="B115" s="228"/>
      <c r="C115" s="228"/>
      <c r="D115" s="229"/>
      <c r="E115" s="229"/>
      <c r="F115" s="229"/>
      <c r="G115" s="229"/>
      <c r="H115" s="229"/>
      <c r="I115" s="229"/>
      <c r="J115" s="220"/>
      <c r="K115" s="216"/>
      <c r="L115" s="216"/>
      <c r="M115" s="217"/>
      <c r="N115" s="217"/>
      <c r="O115" s="217"/>
      <c r="P115" s="213" t="str">
        <f t="shared" si="14"/>
        <v>No</v>
      </c>
      <c r="Q115" s="148" t="str">
        <f t="shared" si="15"/>
        <v>No</v>
      </c>
      <c r="R115" t="e">
        <f>VLOOKUP(F115, Property!A:B, 2,0)</f>
        <v>#N/A</v>
      </c>
      <c r="T115">
        <f t="shared" si="16"/>
        <v>0</v>
      </c>
      <c r="U115">
        <f t="shared" si="17"/>
        <v>0</v>
      </c>
      <c r="V115">
        <f t="shared" si="18"/>
        <v>0</v>
      </c>
      <c r="W115">
        <f t="shared" si="19"/>
        <v>0</v>
      </c>
      <c r="X115">
        <f t="shared" si="20"/>
        <v>0</v>
      </c>
      <c r="Y115">
        <f t="shared" si="21"/>
        <v>0</v>
      </c>
      <c r="Z115" s="150" t="str">
        <f t="shared" si="22"/>
        <v>No</v>
      </c>
      <c r="AA115" s="150" t="str">
        <f t="shared" si="23"/>
        <v>No</v>
      </c>
      <c r="AB115">
        <f t="shared" si="24"/>
        <v>0</v>
      </c>
      <c r="AC115">
        <f t="shared" si="25"/>
        <v>0</v>
      </c>
      <c r="AD115" t="str">
        <f t="shared" si="26"/>
        <v>No</v>
      </c>
      <c r="AE115" t="str">
        <f t="shared" si="27"/>
        <v>No</v>
      </c>
    </row>
    <row r="116" spans="1:31" x14ac:dyDescent="0.25">
      <c r="A116" s="227"/>
      <c r="B116" s="228"/>
      <c r="C116" s="228"/>
      <c r="D116" s="229"/>
      <c r="E116" s="229"/>
      <c r="F116" s="229"/>
      <c r="G116" s="229"/>
      <c r="H116" s="230"/>
      <c r="I116" s="229"/>
      <c r="J116" s="220"/>
      <c r="K116" s="216"/>
      <c r="L116" s="216"/>
      <c r="M116" s="217"/>
      <c r="N116" s="217"/>
      <c r="O116" s="217"/>
      <c r="P116" s="213" t="str">
        <f t="shared" si="14"/>
        <v>No</v>
      </c>
      <c r="Q116" s="148" t="str">
        <f t="shared" si="15"/>
        <v>No</v>
      </c>
      <c r="R116" t="e">
        <f>VLOOKUP(F116, Property!A:B, 2,0)</f>
        <v>#N/A</v>
      </c>
      <c r="T116">
        <f t="shared" si="16"/>
        <v>0</v>
      </c>
      <c r="U116">
        <f t="shared" si="17"/>
        <v>0</v>
      </c>
      <c r="V116">
        <f t="shared" si="18"/>
        <v>0</v>
      </c>
      <c r="W116">
        <f t="shared" si="19"/>
        <v>0</v>
      </c>
      <c r="X116">
        <f t="shared" si="20"/>
        <v>0</v>
      </c>
      <c r="Y116">
        <f t="shared" si="21"/>
        <v>0</v>
      </c>
      <c r="Z116" s="150" t="str">
        <f t="shared" si="22"/>
        <v>No</v>
      </c>
      <c r="AA116" s="150" t="str">
        <f t="shared" si="23"/>
        <v>No</v>
      </c>
      <c r="AB116">
        <f t="shared" si="24"/>
        <v>0</v>
      </c>
      <c r="AC116">
        <f t="shared" si="25"/>
        <v>0</v>
      </c>
      <c r="AD116" t="str">
        <f t="shared" si="26"/>
        <v>No</v>
      </c>
      <c r="AE116" t="str">
        <f t="shared" si="27"/>
        <v>No</v>
      </c>
    </row>
    <row r="117" spans="1:31" x14ac:dyDescent="0.25">
      <c r="A117" s="227"/>
      <c r="B117" s="228"/>
      <c r="C117" s="228"/>
      <c r="D117" s="229"/>
      <c r="E117" s="229"/>
      <c r="F117" s="229"/>
      <c r="G117" s="229"/>
      <c r="H117" s="230"/>
      <c r="I117" s="229"/>
      <c r="J117" s="220"/>
      <c r="K117" s="216"/>
      <c r="L117" s="216"/>
      <c r="M117" s="216"/>
      <c r="N117" s="217"/>
      <c r="O117" s="217"/>
      <c r="P117" s="213" t="str">
        <f t="shared" si="14"/>
        <v>No</v>
      </c>
      <c r="Q117" s="148" t="str">
        <f t="shared" si="15"/>
        <v>No</v>
      </c>
      <c r="R117" t="e">
        <f>VLOOKUP(F117, Property!A:B, 2,0)</f>
        <v>#N/A</v>
      </c>
      <c r="T117">
        <f t="shared" si="16"/>
        <v>0</v>
      </c>
      <c r="U117">
        <f t="shared" si="17"/>
        <v>0</v>
      </c>
      <c r="V117">
        <f t="shared" si="18"/>
        <v>0</v>
      </c>
      <c r="W117">
        <f t="shared" si="19"/>
        <v>0</v>
      </c>
      <c r="X117">
        <f t="shared" si="20"/>
        <v>0</v>
      </c>
      <c r="Y117">
        <f t="shared" si="21"/>
        <v>0</v>
      </c>
      <c r="Z117" s="150" t="str">
        <f t="shared" si="22"/>
        <v>No</v>
      </c>
      <c r="AA117" s="150" t="str">
        <f t="shared" si="23"/>
        <v>No</v>
      </c>
      <c r="AB117">
        <f t="shared" si="24"/>
        <v>0</v>
      </c>
      <c r="AC117">
        <f t="shared" si="25"/>
        <v>0</v>
      </c>
      <c r="AD117" t="str">
        <f t="shared" si="26"/>
        <v>No</v>
      </c>
      <c r="AE117" t="str">
        <f t="shared" si="27"/>
        <v>No</v>
      </c>
    </row>
    <row r="118" spans="1:31" x14ac:dyDescent="0.25">
      <c r="A118" s="227"/>
      <c r="B118" s="228"/>
      <c r="C118" s="228"/>
      <c r="D118" s="229"/>
      <c r="E118" s="229"/>
      <c r="F118" s="229"/>
      <c r="G118" s="229"/>
      <c r="H118" s="230"/>
      <c r="I118" s="229"/>
      <c r="J118" s="220"/>
      <c r="K118" s="216"/>
      <c r="L118" s="216"/>
      <c r="M118" s="217"/>
      <c r="N118" s="217"/>
      <c r="O118" s="217"/>
      <c r="P118" s="213" t="str">
        <f t="shared" si="14"/>
        <v>No</v>
      </c>
      <c r="Q118" s="148" t="str">
        <f t="shared" si="15"/>
        <v>No</v>
      </c>
      <c r="R118" t="e">
        <f>VLOOKUP(F118, Property!A:B, 2,0)</f>
        <v>#N/A</v>
      </c>
      <c r="T118">
        <f t="shared" si="16"/>
        <v>0</v>
      </c>
      <c r="U118">
        <f t="shared" si="17"/>
        <v>0</v>
      </c>
      <c r="V118">
        <f t="shared" si="18"/>
        <v>0</v>
      </c>
      <c r="W118">
        <f t="shared" si="19"/>
        <v>0</v>
      </c>
      <c r="X118">
        <f t="shared" si="20"/>
        <v>0</v>
      </c>
      <c r="Y118">
        <f t="shared" si="21"/>
        <v>0</v>
      </c>
      <c r="Z118" s="150" t="str">
        <f t="shared" si="22"/>
        <v>No</v>
      </c>
      <c r="AA118" s="150" t="str">
        <f t="shared" si="23"/>
        <v>No</v>
      </c>
      <c r="AB118">
        <f t="shared" si="24"/>
        <v>0</v>
      </c>
      <c r="AC118">
        <f t="shared" si="25"/>
        <v>0</v>
      </c>
      <c r="AD118" t="str">
        <f t="shared" si="26"/>
        <v>No</v>
      </c>
      <c r="AE118" t="str">
        <f t="shared" si="27"/>
        <v>No</v>
      </c>
    </row>
    <row r="119" spans="1:31" x14ac:dyDescent="0.25">
      <c r="A119" s="227"/>
      <c r="B119" s="228"/>
      <c r="C119" s="228"/>
      <c r="D119" s="229"/>
      <c r="E119" s="229"/>
      <c r="F119" s="229"/>
      <c r="G119" s="229"/>
      <c r="H119" s="230"/>
      <c r="I119" s="229"/>
      <c r="J119" s="220"/>
      <c r="K119" s="216"/>
      <c r="L119" s="216"/>
      <c r="M119" s="217"/>
      <c r="N119" s="217"/>
      <c r="O119" s="217"/>
      <c r="P119" s="213" t="str">
        <f t="shared" si="14"/>
        <v>No</v>
      </c>
      <c r="Q119" s="148" t="str">
        <f t="shared" si="15"/>
        <v>No</v>
      </c>
      <c r="R119" t="e">
        <f>VLOOKUP(F119, Property!A:B, 2,0)</f>
        <v>#N/A</v>
      </c>
      <c r="T119">
        <f t="shared" si="16"/>
        <v>0</v>
      </c>
      <c r="U119">
        <f t="shared" si="17"/>
        <v>0</v>
      </c>
      <c r="V119">
        <f t="shared" si="18"/>
        <v>0</v>
      </c>
      <c r="W119">
        <f t="shared" si="19"/>
        <v>0</v>
      </c>
      <c r="X119">
        <f t="shared" si="20"/>
        <v>0</v>
      </c>
      <c r="Y119">
        <f t="shared" si="21"/>
        <v>0</v>
      </c>
      <c r="Z119" s="150" t="str">
        <f t="shared" si="22"/>
        <v>No</v>
      </c>
      <c r="AA119" s="150" t="str">
        <f t="shared" si="23"/>
        <v>No</v>
      </c>
      <c r="AB119">
        <f t="shared" si="24"/>
        <v>0</v>
      </c>
      <c r="AC119">
        <f t="shared" si="25"/>
        <v>0</v>
      </c>
      <c r="AD119" t="str">
        <f t="shared" si="26"/>
        <v>No</v>
      </c>
      <c r="AE119" t="str">
        <f t="shared" si="27"/>
        <v>No</v>
      </c>
    </row>
    <row r="120" spans="1:31" x14ac:dyDescent="0.25">
      <c r="A120" s="227"/>
      <c r="B120" s="228"/>
      <c r="C120" s="228"/>
      <c r="D120" s="229"/>
      <c r="E120" s="229"/>
      <c r="F120" s="229"/>
      <c r="G120" s="229"/>
      <c r="H120" s="230"/>
      <c r="I120" s="229"/>
      <c r="J120" s="220"/>
      <c r="K120" s="216"/>
      <c r="L120" s="216"/>
      <c r="M120" s="217"/>
      <c r="N120" s="217"/>
      <c r="O120" s="217"/>
      <c r="P120" s="213" t="str">
        <f t="shared" si="14"/>
        <v>No</v>
      </c>
      <c r="Q120" s="148" t="str">
        <f t="shared" si="15"/>
        <v>No</v>
      </c>
      <c r="R120" t="e">
        <f>VLOOKUP(F120, Property!A:B, 2,0)</f>
        <v>#N/A</v>
      </c>
      <c r="T120">
        <f t="shared" si="16"/>
        <v>0</v>
      </c>
      <c r="U120">
        <f t="shared" si="17"/>
        <v>0</v>
      </c>
      <c r="V120">
        <f t="shared" si="18"/>
        <v>0</v>
      </c>
      <c r="W120">
        <f t="shared" si="19"/>
        <v>0</v>
      </c>
      <c r="X120">
        <f t="shared" si="20"/>
        <v>0</v>
      </c>
      <c r="Y120">
        <f t="shared" si="21"/>
        <v>0</v>
      </c>
      <c r="Z120" s="150" t="str">
        <f t="shared" si="22"/>
        <v>No</v>
      </c>
      <c r="AA120" s="150" t="str">
        <f t="shared" si="23"/>
        <v>No</v>
      </c>
      <c r="AB120">
        <f t="shared" si="24"/>
        <v>0</v>
      </c>
      <c r="AC120">
        <f t="shared" si="25"/>
        <v>0</v>
      </c>
      <c r="AD120" t="str">
        <f t="shared" si="26"/>
        <v>No</v>
      </c>
      <c r="AE120" t="str">
        <f t="shared" si="27"/>
        <v>No</v>
      </c>
    </row>
    <row r="121" spans="1:31" x14ac:dyDescent="0.25">
      <c r="A121" s="227"/>
      <c r="B121" s="228"/>
      <c r="C121" s="228"/>
      <c r="D121" s="229"/>
      <c r="E121" s="229"/>
      <c r="F121" s="229"/>
      <c r="G121" s="229"/>
      <c r="H121" s="230"/>
      <c r="I121" s="229"/>
      <c r="J121" s="220"/>
      <c r="K121" s="216"/>
      <c r="L121" s="216"/>
      <c r="M121" s="217"/>
      <c r="N121" s="217"/>
      <c r="O121" s="217"/>
      <c r="P121" s="213" t="str">
        <f t="shared" si="14"/>
        <v>No</v>
      </c>
      <c r="Q121" s="148" t="str">
        <f t="shared" si="15"/>
        <v>No</v>
      </c>
      <c r="R121" t="e">
        <f>VLOOKUP(F121, Property!A:B, 2,0)</f>
        <v>#N/A</v>
      </c>
      <c r="T121">
        <f t="shared" si="16"/>
        <v>0</v>
      </c>
      <c r="U121">
        <f t="shared" si="17"/>
        <v>0</v>
      </c>
      <c r="V121">
        <f t="shared" si="18"/>
        <v>0</v>
      </c>
      <c r="W121">
        <f t="shared" si="19"/>
        <v>0</v>
      </c>
      <c r="X121">
        <f t="shared" si="20"/>
        <v>0</v>
      </c>
      <c r="Y121">
        <f t="shared" si="21"/>
        <v>0</v>
      </c>
      <c r="Z121" s="150" t="str">
        <f t="shared" si="22"/>
        <v>No</v>
      </c>
      <c r="AA121" s="150" t="str">
        <f t="shared" si="23"/>
        <v>No</v>
      </c>
      <c r="AB121">
        <f t="shared" si="24"/>
        <v>0</v>
      </c>
      <c r="AC121">
        <f t="shared" si="25"/>
        <v>0</v>
      </c>
      <c r="AD121" t="str">
        <f t="shared" si="26"/>
        <v>No</v>
      </c>
      <c r="AE121" t="str">
        <f t="shared" si="27"/>
        <v>No</v>
      </c>
    </row>
    <row r="122" spans="1:31" x14ac:dyDescent="0.25">
      <c r="A122" s="227"/>
      <c r="B122" s="228"/>
      <c r="C122" s="228"/>
      <c r="D122" s="229"/>
      <c r="E122" s="229"/>
      <c r="F122" s="229"/>
      <c r="G122" s="229"/>
      <c r="H122" s="230"/>
      <c r="I122" s="229"/>
      <c r="J122" s="220"/>
      <c r="K122" s="216"/>
      <c r="L122" s="216"/>
      <c r="M122" s="217"/>
      <c r="N122" s="217"/>
      <c r="O122" s="217"/>
      <c r="P122" s="213" t="str">
        <f t="shared" si="14"/>
        <v>No</v>
      </c>
      <c r="Q122" s="148" t="str">
        <f t="shared" si="15"/>
        <v>No</v>
      </c>
      <c r="R122" t="e">
        <f>VLOOKUP(F122, Property!A:B, 2,0)</f>
        <v>#N/A</v>
      </c>
      <c r="T122">
        <f t="shared" si="16"/>
        <v>0</v>
      </c>
      <c r="U122">
        <f t="shared" si="17"/>
        <v>0</v>
      </c>
      <c r="V122">
        <f t="shared" si="18"/>
        <v>0</v>
      </c>
      <c r="W122">
        <f t="shared" si="19"/>
        <v>0</v>
      </c>
      <c r="X122">
        <f t="shared" si="20"/>
        <v>0</v>
      </c>
      <c r="Y122">
        <f t="shared" si="21"/>
        <v>0</v>
      </c>
      <c r="Z122" s="150" t="str">
        <f t="shared" si="22"/>
        <v>No</v>
      </c>
      <c r="AA122" s="150" t="str">
        <f t="shared" si="23"/>
        <v>No</v>
      </c>
      <c r="AB122">
        <f t="shared" si="24"/>
        <v>0</v>
      </c>
      <c r="AC122">
        <f t="shared" si="25"/>
        <v>0</v>
      </c>
      <c r="AD122" t="str">
        <f t="shared" si="26"/>
        <v>No</v>
      </c>
      <c r="AE122" t="str">
        <f t="shared" si="27"/>
        <v>No</v>
      </c>
    </row>
    <row r="123" spans="1:31" x14ac:dyDescent="0.25">
      <c r="A123" s="227"/>
      <c r="B123" s="228"/>
      <c r="C123" s="228"/>
      <c r="D123" s="229"/>
      <c r="E123" s="229"/>
      <c r="F123" s="229"/>
      <c r="G123" s="229"/>
      <c r="H123" s="230"/>
      <c r="I123" s="229"/>
      <c r="J123" s="220"/>
      <c r="K123" s="216"/>
      <c r="L123" s="216"/>
      <c r="M123" s="217"/>
      <c r="N123" s="217"/>
      <c r="O123" s="217"/>
      <c r="P123" s="213" t="str">
        <f t="shared" si="14"/>
        <v>No</v>
      </c>
      <c r="Q123" s="148" t="str">
        <f t="shared" si="15"/>
        <v>No</v>
      </c>
      <c r="R123" t="e">
        <f>VLOOKUP(F123, Property!A:B, 2,0)</f>
        <v>#N/A</v>
      </c>
      <c r="T123">
        <f t="shared" si="16"/>
        <v>0</v>
      </c>
      <c r="U123">
        <f t="shared" si="17"/>
        <v>0</v>
      </c>
      <c r="V123">
        <f t="shared" si="18"/>
        <v>0</v>
      </c>
      <c r="W123">
        <f t="shared" si="19"/>
        <v>0</v>
      </c>
      <c r="X123">
        <f t="shared" si="20"/>
        <v>0</v>
      </c>
      <c r="Y123">
        <f t="shared" si="21"/>
        <v>0</v>
      </c>
      <c r="Z123" s="150" t="str">
        <f t="shared" si="22"/>
        <v>No</v>
      </c>
      <c r="AA123" s="150" t="str">
        <f t="shared" si="23"/>
        <v>No</v>
      </c>
      <c r="AB123">
        <f t="shared" si="24"/>
        <v>0</v>
      </c>
      <c r="AC123">
        <f t="shared" si="25"/>
        <v>0</v>
      </c>
      <c r="AD123" t="str">
        <f t="shared" si="26"/>
        <v>No</v>
      </c>
      <c r="AE123" t="str">
        <f t="shared" si="27"/>
        <v>No</v>
      </c>
    </row>
    <row r="124" spans="1:31" x14ac:dyDescent="0.25">
      <c r="A124" s="227"/>
      <c r="B124" s="228"/>
      <c r="C124" s="228"/>
      <c r="D124" s="229"/>
      <c r="E124" s="229"/>
      <c r="F124" s="229"/>
      <c r="G124" s="229"/>
      <c r="H124" s="230"/>
      <c r="I124" s="229"/>
      <c r="J124" s="220"/>
      <c r="K124" s="216"/>
      <c r="L124" s="216"/>
      <c r="M124" s="217"/>
      <c r="N124" s="217"/>
      <c r="O124" s="217"/>
      <c r="P124" s="213" t="str">
        <f t="shared" si="14"/>
        <v>No</v>
      </c>
      <c r="Q124" s="148" t="str">
        <f t="shared" si="15"/>
        <v>No</v>
      </c>
      <c r="R124" t="e">
        <f>VLOOKUP(F124, Property!A:B, 2,0)</f>
        <v>#N/A</v>
      </c>
      <c r="T124">
        <f t="shared" si="16"/>
        <v>0</v>
      </c>
      <c r="U124">
        <f t="shared" si="17"/>
        <v>0</v>
      </c>
      <c r="V124">
        <f t="shared" si="18"/>
        <v>0</v>
      </c>
      <c r="W124">
        <f t="shared" si="19"/>
        <v>0</v>
      </c>
      <c r="X124">
        <f t="shared" si="20"/>
        <v>0</v>
      </c>
      <c r="Y124">
        <f t="shared" si="21"/>
        <v>0</v>
      </c>
      <c r="Z124" s="150" t="str">
        <f t="shared" si="22"/>
        <v>No</v>
      </c>
      <c r="AA124" s="150" t="str">
        <f t="shared" si="23"/>
        <v>No</v>
      </c>
      <c r="AB124">
        <f t="shared" si="24"/>
        <v>0</v>
      </c>
      <c r="AC124">
        <f t="shared" si="25"/>
        <v>0</v>
      </c>
      <c r="AD124" t="str">
        <f t="shared" si="26"/>
        <v>No</v>
      </c>
      <c r="AE124" t="str">
        <f t="shared" si="27"/>
        <v>No</v>
      </c>
    </row>
    <row r="125" spans="1:31" x14ac:dyDescent="0.25">
      <c r="A125" s="227"/>
      <c r="B125" s="228"/>
      <c r="C125" s="228"/>
      <c r="D125" s="229"/>
      <c r="E125" s="229"/>
      <c r="F125" s="229"/>
      <c r="G125" s="229"/>
      <c r="H125" s="230"/>
      <c r="I125" s="229"/>
      <c r="J125" s="220"/>
      <c r="K125" s="216"/>
      <c r="L125" s="216"/>
      <c r="M125" s="217"/>
      <c r="N125" s="217"/>
      <c r="O125" s="217"/>
      <c r="P125" s="213" t="str">
        <f t="shared" si="14"/>
        <v>No</v>
      </c>
      <c r="Q125" s="148" t="str">
        <f t="shared" si="15"/>
        <v>No</v>
      </c>
      <c r="R125" t="e">
        <f>VLOOKUP(F125, Property!A:B, 2,0)</f>
        <v>#N/A</v>
      </c>
      <c r="T125">
        <f t="shared" si="16"/>
        <v>0</v>
      </c>
      <c r="U125">
        <f t="shared" si="17"/>
        <v>0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 s="150" t="str">
        <f t="shared" si="22"/>
        <v>No</v>
      </c>
      <c r="AA125" s="150" t="str">
        <f t="shared" si="23"/>
        <v>No</v>
      </c>
      <c r="AB125">
        <f t="shared" si="24"/>
        <v>0</v>
      </c>
      <c r="AC125">
        <f t="shared" si="25"/>
        <v>0</v>
      </c>
      <c r="AD125" t="str">
        <f t="shared" si="26"/>
        <v>No</v>
      </c>
      <c r="AE125" t="str">
        <f t="shared" si="27"/>
        <v>No</v>
      </c>
    </row>
    <row r="126" spans="1:31" x14ac:dyDescent="0.25">
      <c r="A126" s="227"/>
      <c r="B126" s="228"/>
      <c r="C126" s="228"/>
      <c r="D126" s="229"/>
      <c r="E126" s="229"/>
      <c r="F126" s="229"/>
      <c r="G126" s="229"/>
      <c r="H126" s="230"/>
      <c r="I126" s="229"/>
      <c r="J126" s="220"/>
      <c r="K126" s="216"/>
      <c r="L126" s="216"/>
      <c r="M126" s="217"/>
      <c r="N126" s="217"/>
      <c r="O126" s="217"/>
      <c r="P126" s="213" t="str">
        <f t="shared" si="14"/>
        <v>No</v>
      </c>
      <c r="Q126" s="148" t="str">
        <f t="shared" si="15"/>
        <v>No</v>
      </c>
      <c r="R126" t="e">
        <f>VLOOKUP(F126, Property!A:B, 2,0)</f>
        <v>#N/A</v>
      </c>
      <c r="T126">
        <f t="shared" si="16"/>
        <v>0</v>
      </c>
      <c r="U126">
        <f t="shared" si="17"/>
        <v>0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 s="150" t="str">
        <f t="shared" si="22"/>
        <v>No</v>
      </c>
      <c r="AA126" s="150" t="str">
        <f t="shared" si="23"/>
        <v>No</v>
      </c>
      <c r="AB126">
        <f t="shared" si="24"/>
        <v>0</v>
      </c>
      <c r="AC126">
        <f t="shared" si="25"/>
        <v>0</v>
      </c>
      <c r="AD126" t="str">
        <f t="shared" si="26"/>
        <v>No</v>
      </c>
      <c r="AE126" t="str">
        <f t="shared" si="27"/>
        <v>No</v>
      </c>
    </row>
    <row r="127" spans="1:31" x14ac:dyDescent="0.25">
      <c r="A127" s="227"/>
      <c r="B127" s="228"/>
      <c r="C127" s="228"/>
      <c r="D127" s="229"/>
      <c r="E127" s="229"/>
      <c r="F127" s="229"/>
      <c r="G127" s="229"/>
      <c r="H127" s="230"/>
      <c r="I127" s="229"/>
      <c r="J127" s="220"/>
      <c r="K127" s="216"/>
      <c r="L127" s="216"/>
      <c r="M127" s="217"/>
      <c r="N127" s="217"/>
      <c r="O127" s="217"/>
      <c r="P127" s="213" t="str">
        <f t="shared" si="14"/>
        <v>No</v>
      </c>
      <c r="Q127" s="148" t="str">
        <f t="shared" si="15"/>
        <v>No</v>
      </c>
      <c r="R127" t="e">
        <f>VLOOKUP(F127, Property!A:B, 2,0)</f>
        <v>#N/A</v>
      </c>
      <c r="T127">
        <f t="shared" si="16"/>
        <v>0</v>
      </c>
      <c r="U127">
        <f t="shared" si="17"/>
        <v>0</v>
      </c>
      <c r="V127">
        <f t="shared" si="18"/>
        <v>0</v>
      </c>
      <c r="W127">
        <f t="shared" si="19"/>
        <v>0</v>
      </c>
      <c r="X127">
        <f t="shared" si="20"/>
        <v>0</v>
      </c>
      <c r="Y127">
        <f t="shared" si="21"/>
        <v>0</v>
      </c>
      <c r="Z127" s="150" t="str">
        <f t="shared" si="22"/>
        <v>No</v>
      </c>
      <c r="AA127" s="150" t="str">
        <f t="shared" si="23"/>
        <v>No</v>
      </c>
      <c r="AB127">
        <f t="shared" si="24"/>
        <v>0</v>
      </c>
      <c r="AC127">
        <f t="shared" si="25"/>
        <v>0</v>
      </c>
      <c r="AD127" t="str">
        <f t="shared" si="26"/>
        <v>No</v>
      </c>
      <c r="AE127" t="str">
        <f t="shared" si="27"/>
        <v>No</v>
      </c>
    </row>
    <row r="128" spans="1:31" x14ac:dyDescent="0.25">
      <c r="A128" s="227"/>
      <c r="B128" s="228"/>
      <c r="C128" s="228"/>
      <c r="D128" s="229"/>
      <c r="E128" s="229"/>
      <c r="F128" s="229"/>
      <c r="G128" s="229"/>
      <c r="H128" s="230"/>
      <c r="I128" s="229"/>
      <c r="J128" s="220"/>
      <c r="K128" s="216"/>
      <c r="L128" s="216"/>
      <c r="M128" s="217"/>
      <c r="N128" s="217"/>
      <c r="O128" s="219"/>
      <c r="P128" s="213" t="str">
        <f t="shared" si="14"/>
        <v>No</v>
      </c>
      <c r="Q128" s="148" t="str">
        <f t="shared" si="15"/>
        <v>No</v>
      </c>
      <c r="R128" t="e">
        <f>VLOOKUP(F128, Property!A:B, 2,0)</f>
        <v>#N/A</v>
      </c>
      <c r="T128">
        <f t="shared" si="16"/>
        <v>0</v>
      </c>
      <c r="U128">
        <f t="shared" si="17"/>
        <v>0</v>
      </c>
      <c r="V128">
        <f t="shared" si="18"/>
        <v>0</v>
      </c>
      <c r="W128">
        <f t="shared" si="19"/>
        <v>0</v>
      </c>
      <c r="X128">
        <f t="shared" si="20"/>
        <v>0</v>
      </c>
      <c r="Y128">
        <f t="shared" si="21"/>
        <v>0</v>
      </c>
      <c r="Z128" s="150" t="str">
        <f t="shared" si="22"/>
        <v>No</v>
      </c>
      <c r="AA128" s="150" t="str">
        <f t="shared" si="23"/>
        <v>No</v>
      </c>
      <c r="AB128">
        <f t="shared" si="24"/>
        <v>0</v>
      </c>
      <c r="AC128">
        <f t="shared" si="25"/>
        <v>0</v>
      </c>
      <c r="AD128" t="str">
        <f t="shared" si="26"/>
        <v>No</v>
      </c>
      <c r="AE128" t="str">
        <f t="shared" si="27"/>
        <v>No</v>
      </c>
    </row>
    <row r="129" spans="1:31" x14ac:dyDescent="0.25">
      <c r="A129" s="227"/>
      <c r="B129" s="228"/>
      <c r="C129" s="228"/>
      <c r="D129" s="229"/>
      <c r="E129" s="229"/>
      <c r="F129" s="229"/>
      <c r="G129" s="229"/>
      <c r="H129" s="230"/>
      <c r="I129" s="229"/>
      <c r="J129" s="220"/>
      <c r="K129" s="216"/>
      <c r="L129" s="216"/>
      <c r="M129" s="217"/>
      <c r="N129" s="217"/>
      <c r="O129" s="217"/>
      <c r="P129" s="213" t="str">
        <f t="shared" si="14"/>
        <v>No</v>
      </c>
      <c r="Q129" s="148" t="str">
        <f t="shared" si="15"/>
        <v>No</v>
      </c>
      <c r="R129" t="e">
        <f>VLOOKUP(F129, Property!A:B, 2,0)</f>
        <v>#N/A</v>
      </c>
      <c r="T129">
        <f t="shared" si="16"/>
        <v>0</v>
      </c>
      <c r="U129">
        <f t="shared" si="17"/>
        <v>0</v>
      </c>
      <c r="V129">
        <f t="shared" si="18"/>
        <v>0</v>
      </c>
      <c r="W129">
        <f t="shared" si="19"/>
        <v>0</v>
      </c>
      <c r="X129">
        <f t="shared" si="20"/>
        <v>0</v>
      </c>
      <c r="Y129">
        <f t="shared" si="21"/>
        <v>0</v>
      </c>
      <c r="Z129" s="150" t="str">
        <f t="shared" si="22"/>
        <v>No</v>
      </c>
      <c r="AA129" s="150" t="str">
        <f t="shared" si="23"/>
        <v>No</v>
      </c>
      <c r="AB129">
        <f t="shared" si="24"/>
        <v>0</v>
      </c>
      <c r="AC129">
        <f t="shared" si="25"/>
        <v>0</v>
      </c>
      <c r="AD129" t="str">
        <f t="shared" si="26"/>
        <v>No</v>
      </c>
      <c r="AE129" t="str">
        <f t="shared" si="27"/>
        <v>No</v>
      </c>
    </row>
    <row r="130" spans="1:31" x14ac:dyDescent="0.25">
      <c r="A130" s="227"/>
      <c r="B130" s="228"/>
      <c r="C130" s="228"/>
      <c r="D130" s="229"/>
      <c r="E130" s="229"/>
      <c r="F130" s="229"/>
      <c r="G130" s="229"/>
      <c r="H130" s="230"/>
      <c r="I130" s="229"/>
      <c r="J130" s="220"/>
      <c r="K130" s="216"/>
      <c r="L130" s="216"/>
      <c r="M130" s="217"/>
      <c r="N130" s="217"/>
      <c r="O130" s="217"/>
      <c r="P130" s="213" t="str">
        <f t="shared" si="14"/>
        <v>No</v>
      </c>
      <c r="Q130" s="148" t="str">
        <f t="shared" si="15"/>
        <v>No</v>
      </c>
      <c r="R130" t="e">
        <f>VLOOKUP(F130, Property!A:B, 2,0)</f>
        <v>#N/A</v>
      </c>
      <c r="T130">
        <f t="shared" si="16"/>
        <v>0</v>
      </c>
      <c r="U130">
        <f t="shared" si="17"/>
        <v>0</v>
      </c>
      <c r="V130">
        <f t="shared" si="18"/>
        <v>0</v>
      </c>
      <c r="W130">
        <f t="shared" si="19"/>
        <v>0</v>
      </c>
      <c r="X130">
        <f t="shared" si="20"/>
        <v>0</v>
      </c>
      <c r="Y130">
        <f t="shared" si="21"/>
        <v>0</v>
      </c>
      <c r="Z130" s="150" t="str">
        <f t="shared" si="22"/>
        <v>No</v>
      </c>
      <c r="AA130" s="150" t="str">
        <f t="shared" si="23"/>
        <v>No</v>
      </c>
      <c r="AB130">
        <f t="shared" si="24"/>
        <v>0</v>
      </c>
      <c r="AC130">
        <f t="shared" si="25"/>
        <v>0</v>
      </c>
      <c r="AD130" t="str">
        <f t="shared" si="26"/>
        <v>No</v>
      </c>
      <c r="AE130" t="str">
        <f t="shared" si="27"/>
        <v>No</v>
      </c>
    </row>
    <row r="131" spans="1:31" x14ac:dyDescent="0.25">
      <c r="A131" s="227"/>
      <c r="B131" s="228"/>
      <c r="C131" s="228"/>
      <c r="D131" s="229"/>
      <c r="E131" s="229"/>
      <c r="F131" s="229"/>
      <c r="G131" s="229"/>
      <c r="H131" s="230"/>
      <c r="I131" s="229"/>
      <c r="J131" s="220"/>
      <c r="K131" s="216"/>
      <c r="L131" s="216"/>
      <c r="M131" s="217"/>
      <c r="N131" s="217"/>
      <c r="O131" s="217"/>
      <c r="P131" s="213" t="str">
        <f t="shared" ref="P131:P194" si="28">Z131</f>
        <v>No</v>
      </c>
      <c r="Q131" s="148" t="str">
        <f t="shared" ref="Q131:Q194" si="29">AA131</f>
        <v>No</v>
      </c>
      <c r="R131" t="e">
        <f>VLOOKUP(F131, Property!A:B, 2,0)</f>
        <v>#N/A</v>
      </c>
      <c r="T131">
        <f t="shared" ref="T131:T194" si="30">SUM(M131:O131)</f>
        <v>0</v>
      </c>
      <c r="U131">
        <f t="shared" ref="U131:U194" si="31">SUM(J131:L131)</f>
        <v>0</v>
      </c>
      <c r="V131">
        <f t="shared" ref="V131:V194" si="32">IF(AND(J131&gt;0, AC131=0), 1, 0)</f>
        <v>0</v>
      </c>
      <c r="W131">
        <f t="shared" ref="W131:W194" si="33">IF(AND(K131&gt;0, AC131=0), 1, 0)</f>
        <v>0</v>
      </c>
      <c r="X131">
        <f t="shared" ref="X131:X194" si="34">IF(L131&gt;0, 1, 0)</f>
        <v>0</v>
      </c>
      <c r="Y131">
        <f t="shared" ref="Y131:Y194" si="35">SUM(V131:X131)</f>
        <v>0</v>
      </c>
      <c r="Z131" s="150" t="str">
        <f t="shared" ref="Z131:Z194" si="36">IF(AND(Y131&gt;0, AB131=0), "Yes", "No")</f>
        <v>No</v>
      </c>
      <c r="AA131" s="150" t="str">
        <f t="shared" ref="AA131:AA194" si="37">IF(AND(G131&gt;0, AB131=0), "Yes", "No")</f>
        <v>No</v>
      </c>
      <c r="AB131">
        <f t="shared" ref="AB131:AB194" si="38">IF(ISNUMBER(SEARCH("Package",D131)), 1,0)</f>
        <v>0</v>
      </c>
      <c r="AC131">
        <f t="shared" ref="AC131:AC194" si="39">IF(ISNUMBER(SEARCH("Breakfast",D131)), 1,0)</f>
        <v>0</v>
      </c>
      <c r="AD131" t="str">
        <f t="shared" ref="AD131:AD194" si="40">IF(AND(P131="Yes", Z131="No"), "Yes", "No")</f>
        <v>No</v>
      </c>
      <c r="AE131" t="str">
        <f t="shared" ref="AE131:AE194" si="41">IF(AND(Q131="Yes", AA131="No"), "Yes", "No")</f>
        <v>No</v>
      </c>
    </row>
    <row r="132" spans="1:31" x14ac:dyDescent="0.25">
      <c r="A132" s="227"/>
      <c r="B132" s="228"/>
      <c r="C132" s="228"/>
      <c r="D132" s="229"/>
      <c r="E132" s="229"/>
      <c r="F132" s="229"/>
      <c r="G132" s="229"/>
      <c r="H132" s="230"/>
      <c r="I132" s="229"/>
      <c r="J132" s="220"/>
      <c r="K132" s="216"/>
      <c r="L132" s="216"/>
      <c r="M132" s="217"/>
      <c r="N132" s="217"/>
      <c r="O132" s="217"/>
      <c r="P132" s="213" t="str">
        <f t="shared" si="28"/>
        <v>No</v>
      </c>
      <c r="Q132" s="148" t="str">
        <f t="shared" si="29"/>
        <v>No</v>
      </c>
      <c r="R132" t="e">
        <f>VLOOKUP(F132, Property!A:B, 2,0)</f>
        <v>#N/A</v>
      </c>
      <c r="T132">
        <f t="shared" si="30"/>
        <v>0</v>
      </c>
      <c r="U132">
        <f t="shared" si="31"/>
        <v>0</v>
      </c>
      <c r="V132">
        <f t="shared" si="32"/>
        <v>0</v>
      </c>
      <c r="W132">
        <f t="shared" si="33"/>
        <v>0</v>
      </c>
      <c r="X132">
        <f t="shared" si="34"/>
        <v>0</v>
      </c>
      <c r="Y132">
        <f t="shared" si="35"/>
        <v>0</v>
      </c>
      <c r="Z132" s="150" t="str">
        <f t="shared" si="36"/>
        <v>No</v>
      </c>
      <c r="AA132" s="150" t="str">
        <f t="shared" si="37"/>
        <v>No</v>
      </c>
      <c r="AB132">
        <f t="shared" si="38"/>
        <v>0</v>
      </c>
      <c r="AC132">
        <f t="shared" si="39"/>
        <v>0</v>
      </c>
      <c r="AD132" t="str">
        <f t="shared" si="40"/>
        <v>No</v>
      </c>
      <c r="AE132" t="str">
        <f t="shared" si="41"/>
        <v>No</v>
      </c>
    </row>
    <row r="133" spans="1:31" x14ac:dyDescent="0.25">
      <c r="A133" s="227"/>
      <c r="B133" s="228"/>
      <c r="C133" s="228"/>
      <c r="D133" s="229"/>
      <c r="E133" s="229"/>
      <c r="F133" s="229"/>
      <c r="G133" s="229"/>
      <c r="H133" s="230"/>
      <c r="I133" s="229"/>
      <c r="J133" s="220"/>
      <c r="K133" s="216"/>
      <c r="L133" s="216"/>
      <c r="M133" s="217"/>
      <c r="N133" s="217"/>
      <c r="O133" s="217"/>
      <c r="P133" s="213" t="str">
        <f t="shared" si="28"/>
        <v>No</v>
      </c>
      <c r="Q133" s="148" t="str">
        <f t="shared" si="29"/>
        <v>No</v>
      </c>
      <c r="R133" t="e">
        <f>VLOOKUP(F133, Property!A:B, 2,0)</f>
        <v>#N/A</v>
      </c>
      <c r="T133">
        <f t="shared" si="30"/>
        <v>0</v>
      </c>
      <c r="U133">
        <f t="shared" si="31"/>
        <v>0</v>
      </c>
      <c r="V133">
        <f t="shared" si="32"/>
        <v>0</v>
      </c>
      <c r="W133">
        <f t="shared" si="33"/>
        <v>0</v>
      </c>
      <c r="X133">
        <f t="shared" si="34"/>
        <v>0</v>
      </c>
      <c r="Y133">
        <f t="shared" si="35"/>
        <v>0</v>
      </c>
      <c r="Z133" s="150" t="str">
        <f t="shared" si="36"/>
        <v>No</v>
      </c>
      <c r="AA133" s="150" t="str">
        <f t="shared" si="37"/>
        <v>No</v>
      </c>
      <c r="AB133">
        <f t="shared" si="38"/>
        <v>0</v>
      </c>
      <c r="AC133">
        <f t="shared" si="39"/>
        <v>0</v>
      </c>
      <c r="AD133" t="str">
        <f t="shared" si="40"/>
        <v>No</v>
      </c>
      <c r="AE133" t="str">
        <f t="shared" si="41"/>
        <v>No</v>
      </c>
    </row>
    <row r="134" spans="1:31" x14ac:dyDescent="0.25">
      <c r="A134" s="227"/>
      <c r="B134" s="228"/>
      <c r="C134" s="228"/>
      <c r="D134" s="229"/>
      <c r="E134" s="229"/>
      <c r="F134" s="229"/>
      <c r="G134" s="229"/>
      <c r="H134" s="230"/>
      <c r="I134" s="229"/>
      <c r="J134" s="220"/>
      <c r="K134" s="216"/>
      <c r="L134" s="216"/>
      <c r="M134" s="217"/>
      <c r="N134" s="217"/>
      <c r="O134" s="217"/>
      <c r="P134" s="213" t="str">
        <f t="shared" si="28"/>
        <v>No</v>
      </c>
      <c r="Q134" s="148" t="str">
        <f t="shared" si="29"/>
        <v>No</v>
      </c>
      <c r="R134" t="e">
        <f>VLOOKUP(F134, Property!A:B, 2,0)</f>
        <v>#N/A</v>
      </c>
      <c r="T134">
        <f t="shared" si="30"/>
        <v>0</v>
      </c>
      <c r="U134">
        <f t="shared" si="31"/>
        <v>0</v>
      </c>
      <c r="V134">
        <f t="shared" si="32"/>
        <v>0</v>
      </c>
      <c r="W134">
        <f t="shared" si="33"/>
        <v>0</v>
      </c>
      <c r="X134">
        <f t="shared" si="34"/>
        <v>0</v>
      </c>
      <c r="Y134">
        <f t="shared" si="35"/>
        <v>0</v>
      </c>
      <c r="Z134" s="150" t="str">
        <f t="shared" si="36"/>
        <v>No</v>
      </c>
      <c r="AA134" s="150" t="str">
        <f t="shared" si="37"/>
        <v>No</v>
      </c>
      <c r="AB134">
        <f t="shared" si="38"/>
        <v>0</v>
      </c>
      <c r="AC134">
        <f t="shared" si="39"/>
        <v>0</v>
      </c>
      <c r="AD134" t="str">
        <f t="shared" si="40"/>
        <v>No</v>
      </c>
      <c r="AE134" t="str">
        <f t="shared" si="41"/>
        <v>No</v>
      </c>
    </row>
    <row r="135" spans="1:31" x14ac:dyDescent="0.25">
      <c r="A135" s="227"/>
      <c r="B135" s="228"/>
      <c r="C135" s="228"/>
      <c r="D135" s="229"/>
      <c r="E135" s="229"/>
      <c r="F135" s="229"/>
      <c r="G135" s="229"/>
      <c r="H135" s="230"/>
      <c r="I135" s="229"/>
      <c r="J135" s="220"/>
      <c r="K135" s="216"/>
      <c r="L135" s="216"/>
      <c r="M135" s="217"/>
      <c r="N135" s="217"/>
      <c r="O135" s="217"/>
      <c r="P135" s="213" t="str">
        <f t="shared" si="28"/>
        <v>No</v>
      </c>
      <c r="Q135" s="148" t="str">
        <f t="shared" si="29"/>
        <v>No</v>
      </c>
      <c r="R135" t="e">
        <f>VLOOKUP(F135, Property!A:B, 2,0)</f>
        <v>#N/A</v>
      </c>
      <c r="T135">
        <f t="shared" si="30"/>
        <v>0</v>
      </c>
      <c r="U135">
        <f t="shared" si="31"/>
        <v>0</v>
      </c>
      <c r="V135">
        <f t="shared" si="32"/>
        <v>0</v>
      </c>
      <c r="W135">
        <f t="shared" si="33"/>
        <v>0</v>
      </c>
      <c r="X135">
        <f t="shared" si="34"/>
        <v>0</v>
      </c>
      <c r="Y135">
        <f t="shared" si="35"/>
        <v>0</v>
      </c>
      <c r="Z135" s="150" t="str">
        <f t="shared" si="36"/>
        <v>No</v>
      </c>
      <c r="AA135" s="150" t="str">
        <f t="shared" si="37"/>
        <v>No</v>
      </c>
      <c r="AB135">
        <f t="shared" si="38"/>
        <v>0</v>
      </c>
      <c r="AC135">
        <f t="shared" si="39"/>
        <v>0</v>
      </c>
      <c r="AD135" t="str">
        <f t="shared" si="40"/>
        <v>No</v>
      </c>
      <c r="AE135" t="str">
        <f t="shared" si="41"/>
        <v>No</v>
      </c>
    </row>
    <row r="136" spans="1:31" x14ac:dyDescent="0.25">
      <c r="A136" s="227"/>
      <c r="B136" s="228"/>
      <c r="C136" s="228"/>
      <c r="D136" s="229"/>
      <c r="E136" s="229"/>
      <c r="F136" s="229"/>
      <c r="G136" s="229"/>
      <c r="H136" s="230"/>
      <c r="I136" s="229"/>
      <c r="J136" s="220"/>
      <c r="K136" s="216"/>
      <c r="L136" s="216"/>
      <c r="M136" s="217"/>
      <c r="N136" s="217"/>
      <c r="O136" s="217"/>
      <c r="P136" s="213" t="str">
        <f t="shared" si="28"/>
        <v>No</v>
      </c>
      <c r="Q136" s="148" t="str">
        <f t="shared" si="29"/>
        <v>No</v>
      </c>
      <c r="R136" t="e">
        <f>VLOOKUP(F136, Property!A:B, 2,0)</f>
        <v>#N/A</v>
      </c>
      <c r="T136">
        <f t="shared" si="30"/>
        <v>0</v>
      </c>
      <c r="U136">
        <f t="shared" si="31"/>
        <v>0</v>
      </c>
      <c r="V136">
        <f t="shared" si="32"/>
        <v>0</v>
      </c>
      <c r="W136">
        <f t="shared" si="33"/>
        <v>0</v>
      </c>
      <c r="X136">
        <f t="shared" si="34"/>
        <v>0</v>
      </c>
      <c r="Y136">
        <f t="shared" si="35"/>
        <v>0</v>
      </c>
      <c r="Z136" s="150" t="str">
        <f t="shared" si="36"/>
        <v>No</v>
      </c>
      <c r="AA136" s="150" t="str">
        <f t="shared" si="37"/>
        <v>No</v>
      </c>
      <c r="AB136">
        <f t="shared" si="38"/>
        <v>0</v>
      </c>
      <c r="AC136">
        <f t="shared" si="39"/>
        <v>0</v>
      </c>
      <c r="AD136" t="str">
        <f t="shared" si="40"/>
        <v>No</v>
      </c>
      <c r="AE136" t="str">
        <f t="shared" si="41"/>
        <v>No</v>
      </c>
    </row>
    <row r="137" spans="1:31" x14ac:dyDescent="0.25">
      <c r="A137" s="227"/>
      <c r="B137" s="228"/>
      <c r="C137" s="228"/>
      <c r="D137" s="229"/>
      <c r="E137" s="229"/>
      <c r="F137" s="229"/>
      <c r="G137" s="229"/>
      <c r="H137" s="230"/>
      <c r="I137" s="229"/>
      <c r="J137" s="220"/>
      <c r="K137" s="216"/>
      <c r="L137" s="216"/>
      <c r="M137" s="217"/>
      <c r="N137" s="217"/>
      <c r="O137" s="217"/>
      <c r="P137" s="213" t="str">
        <f t="shared" si="28"/>
        <v>No</v>
      </c>
      <c r="Q137" s="148" t="str">
        <f t="shared" si="29"/>
        <v>No</v>
      </c>
      <c r="R137" t="e">
        <f>VLOOKUP(F137, Property!A:B, 2,0)</f>
        <v>#N/A</v>
      </c>
      <c r="T137">
        <f t="shared" si="30"/>
        <v>0</v>
      </c>
      <c r="U137">
        <f t="shared" si="31"/>
        <v>0</v>
      </c>
      <c r="V137">
        <f t="shared" si="32"/>
        <v>0</v>
      </c>
      <c r="W137">
        <f t="shared" si="33"/>
        <v>0</v>
      </c>
      <c r="X137">
        <f t="shared" si="34"/>
        <v>0</v>
      </c>
      <c r="Y137">
        <f t="shared" si="35"/>
        <v>0</v>
      </c>
      <c r="Z137" s="150" t="str">
        <f t="shared" si="36"/>
        <v>No</v>
      </c>
      <c r="AA137" s="150" t="str">
        <f t="shared" si="37"/>
        <v>No</v>
      </c>
      <c r="AB137">
        <f t="shared" si="38"/>
        <v>0</v>
      </c>
      <c r="AC137">
        <f t="shared" si="39"/>
        <v>0</v>
      </c>
      <c r="AD137" t="str">
        <f t="shared" si="40"/>
        <v>No</v>
      </c>
      <c r="AE137" t="str">
        <f t="shared" si="41"/>
        <v>No</v>
      </c>
    </row>
    <row r="138" spans="1:31" x14ac:dyDescent="0.25">
      <c r="A138" s="227"/>
      <c r="B138" s="228"/>
      <c r="C138" s="228"/>
      <c r="D138" s="229"/>
      <c r="E138" s="229"/>
      <c r="F138" s="229"/>
      <c r="G138" s="229"/>
      <c r="H138" s="230"/>
      <c r="I138" s="229"/>
      <c r="J138" s="220"/>
      <c r="K138" s="216"/>
      <c r="L138" s="216"/>
      <c r="M138" s="217"/>
      <c r="N138" s="217"/>
      <c r="O138" s="217"/>
      <c r="P138" s="213" t="str">
        <f t="shared" si="28"/>
        <v>No</v>
      </c>
      <c r="Q138" s="148" t="str">
        <f t="shared" si="29"/>
        <v>No</v>
      </c>
      <c r="R138" t="e">
        <f>VLOOKUP(F138, Property!A:B, 2,0)</f>
        <v>#N/A</v>
      </c>
      <c r="T138">
        <f t="shared" si="30"/>
        <v>0</v>
      </c>
      <c r="U138">
        <f t="shared" si="31"/>
        <v>0</v>
      </c>
      <c r="V138">
        <f t="shared" si="32"/>
        <v>0</v>
      </c>
      <c r="W138">
        <f t="shared" si="33"/>
        <v>0</v>
      </c>
      <c r="X138">
        <f t="shared" si="34"/>
        <v>0</v>
      </c>
      <c r="Y138">
        <f t="shared" si="35"/>
        <v>0</v>
      </c>
      <c r="Z138" s="150" t="str">
        <f t="shared" si="36"/>
        <v>No</v>
      </c>
      <c r="AA138" s="150" t="str">
        <f t="shared" si="37"/>
        <v>No</v>
      </c>
      <c r="AB138">
        <f t="shared" si="38"/>
        <v>0</v>
      </c>
      <c r="AC138">
        <f t="shared" si="39"/>
        <v>0</v>
      </c>
      <c r="AD138" t="str">
        <f t="shared" si="40"/>
        <v>No</v>
      </c>
      <c r="AE138" t="str">
        <f t="shared" si="41"/>
        <v>No</v>
      </c>
    </row>
    <row r="139" spans="1:31" x14ac:dyDescent="0.25">
      <c r="A139" s="227"/>
      <c r="B139" s="228"/>
      <c r="C139" s="228"/>
      <c r="D139" s="229"/>
      <c r="E139" s="229"/>
      <c r="F139" s="229"/>
      <c r="G139" s="229"/>
      <c r="H139" s="230"/>
      <c r="I139" s="229"/>
      <c r="J139" s="220"/>
      <c r="K139" s="216"/>
      <c r="L139" s="216"/>
      <c r="M139" s="217"/>
      <c r="N139" s="217"/>
      <c r="O139" s="217"/>
      <c r="P139" s="213" t="str">
        <f t="shared" si="28"/>
        <v>No</v>
      </c>
      <c r="Q139" s="148" t="str">
        <f t="shared" si="29"/>
        <v>No</v>
      </c>
      <c r="R139" t="e">
        <f>VLOOKUP(F139, Property!A:B, 2,0)</f>
        <v>#N/A</v>
      </c>
      <c r="T139">
        <f t="shared" si="30"/>
        <v>0</v>
      </c>
      <c r="U139">
        <f t="shared" si="31"/>
        <v>0</v>
      </c>
      <c r="V139">
        <f t="shared" si="32"/>
        <v>0</v>
      </c>
      <c r="W139">
        <f t="shared" si="33"/>
        <v>0</v>
      </c>
      <c r="X139">
        <f t="shared" si="34"/>
        <v>0</v>
      </c>
      <c r="Y139">
        <f t="shared" si="35"/>
        <v>0</v>
      </c>
      <c r="Z139" s="150" t="str">
        <f t="shared" si="36"/>
        <v>No</v>
      </c>
      <c r="AA139" s="150" t="str">
        <f t="shared" si="37"/>
        <v>No</v>
      </c>
      <c r="AB139">
        <f t="shared" si="38"/>
        <v>0</v>
      </c>
      <c r="AC139">
        <f t="shared" si="39"/>
        <v>0</v>
      </c>
      <c r="AD139" t="str">
        <f t="shared" si="40"/>
        <v>No</v>
      </c>
      <c r="AE139" t="str">
        <f t="shared" si="41"/>
        <v>No</v>
      </c>
    </row>
    <row r="140" spans="1:31" x14ac:dyDescent="0.25">
      <c r="A140" s="227"/>
      <c r="B140" s="228"/>
      <c r="C140" s="228"/>
      <c r="D140" s="229"/>
      <c r="E140" s="229"/>
      <c r="F140" s="229"/>
      <c r="G140" s="229"/>
      <c r="H140" s="230"/>
      <c r="I140" s="229"/>
      <c r="J140" s="220"/>
      <c r="K140" s="216"/>
      <c r="L140" s="216"/>
      <c r="M140" s="217"/>
      <c r="N140" s="217"/>
      <c r="O140" s="217"/>
      <c r="P140" s="213" t="str">
        <f t="shared" si="28"/>
        <v>No</v>
      </c>
      <c r="Q140" s="148" t="str">
        <f t="shared" si="29"/>
        <v>No</v>
      </c>
      <c r="R140" t="e">
        <f>VLOOKUP(F140, Property!A:B, 2,0)</f>
        <v>#N/A</v>
      </c>
      <c r="T140">
        <f t="shared" si="30"/>
        <v>0</v>
      </c>
      <c r="U140">
        <f t="shared" si="31"/>
        <v>0</v>
      </c>
      <c r="V140">
        <f t="shared" si="32"/>
        <v>0</v>
      </c>
      <c r="W140">
        <f t="shared" si="33"/>
        <v>0</v>
      </c>
      <c r="X140">
        <f t="shared" si="34"/>
        <v>0</v>
      </c>
      <c r="Y140">
        <f t="shared" si="35"/>
        <v>0</v>
      </c>
      <c r="Z140" s="150" t="str">
        <f t="shared" si="36"/>
        <v>No</v>
      </c>
      <c r="AA140" s="150" t="str">
        <f t="shared" si="37"/>
        <v>No</v>
      </c>
      <c r="AB140">
        <f t="shared" si="38"/>
        <v>0</v>
      </c>
      <c r="AC140">
        <f t="shared" si="39"/>
        <v>0</v>
      </c>
      <c r="AD140" t="str">
        <f t="shared" si="40"/>
        <v>No</v>
      </c>
      <c r="AE140" t="str">
        <f t="shared" si="41"/>
        <v>No</v>
      </c>
    </row>
    <row r="141" spans="1:31" x14ac:dyDescent="0.25">
      <c r="A141" s="227"/>
      <c r="B141" s="228"/>
      <c r="C141" s="228"/>
      <c r="D141" s="229"/>
      <c r="E141" s="229"/>
      <c r="F141" s="229"/>
      <c r="G141" s="229"/>
      <c r="H141" s="230"/>
      <c r="I141" s="229"/>
      <c r="J141" s="220"/>
      <c r="K141" s="216"/>
      <c r="L141" s="216"/>
      <c r="M141" s="217"/>
      <c r="N141" s="217"/>
      <c r="O141" s="217"/>
      <c r="P141" s="213" t="str">
        <f t="shared" si="28"/>
        <v>No</v>
      </c>
      <c r="Q141" s="148" t="str">
        <f t="shared" si="29"/>
        <v>No</v>
      </c>
      <c r="R141" t="e">
        <f>VLOOKUP(F141, Property!A:B, 2,0)</f>
        <v>#N/A</v>
      </c>
      <c r="T141">
        <f t="shared" si="30"/>
        <v>0</v>
      </c>
      <c r="U141">
        <f t="shared" si="31"/>
        <v>0</v>
      </c>
      <c r="V141">
        <f t="shared" si="32"/>
        <v>0</v>
      </c>
      <c r="W141">
        <f t="shared" si="33"/>
        <v>0</v>
      </c>
      <c r="X141">
        <f t="shared" si="34"/>
        <v>0</v>
      </c>
      <c r="Y141">
        <f t="shared" si="35"/>
        <v>0</v>
      </c>
      <c r="Z141" s="150" t="str">
        <f t="shared" si="36"/>
        <v>No</v>
      </c>
      <c r="AA141" s="150" t="str">
        <f t="shared" si="37"/>
        <v>No</v>
      </c>
      <c r="AB141">
        <f t="shared" si="38"/>
        <v>0</v>
      </c>
      <c r="AC141">
        <f t="shared" si="39"/>
        <v>0</v>
      </c>
      <c r="AD141" t="str">
        <f t="shared" si="40"/>
        <v>No</v>
      </c>
      <c r="AE141" t="str">
        <f t="shared" si="41"/>
        <v>No</v>
      </c>
    </row>
    <row r="142" spans="1:31" x14ac:dyDescent="0.25">
      <c r="A142" s="227"/>
      <c r="B142" s="228"/>
      <c r="C142" s="228"/>
      <c r="D142" s="229"/>
      <c r="E142" s="229"/>
      <c r="F142" s="229"/>
      <c r="G142" s="229"/>
      <c r="H142" s="230"/>
      <c r="I142" s="229"/>
      <c r="J142" s="220"/>
      <c r="K142" s="216"/>
      <c r="L142" s="216"/>
      <c r="M142" s="217"/>
      <c r="N142" s="217"/>
      <c r="O142" s="217"/>
      <c r="P142" s="213" t="str">
        <f t="shared" si="28"/>
        <v>No</v>
      </c>
      <c r="Q142" s="148" t="str">
        <f t="shared" si="29"/>
        <v>No</v>
      </c>
      <c r="R142" t="e">
        <f>VLOOKUP(F142, Property!A:B, 2,0)</f>
        <v>#N/A</v>
      </c>
      <c r="T142">
        <f t="shared" si="30"/>
        <v>0</v>
      </c>
      <c r="U142">
        <f t="shared" si="31"/>
        <v>0</v>
      </c>
      <c r="V142">
        <f t="shared" si="32"/>
        <v>0</v>
      </c>
      <c r="W142">
        <f t="shared" si="33"/>
        <v>0</v>
      </c>
      <c r="X142">
        <f t="shared" si="34"/>
        <v>0</v>
      </c>
      <c r="Y142">
        <f t="shared" si="35"/>
        <v>0</v>
      </c>
      <c r="Z142" s="150" t="str">
        <f t="shared" si="36"/>
        <v>No</v>
      </c>
      <c r="AA142" s="150" t="str">
        <f t="shared" si="37"/>
        <v>No</v>
      </c>
      <c r="AB142">
        <f t="shared" si="38"/>
        <v>0</v>
      </c>
      <c r="AC142">
        <f t="shared" si="39"/>
        <v>0</v>
      </c>
      <c r="AD142" t="str">
        <f t="shared" si="40"/>
        <v>No</v>
      </c>
      <c r="AE142" t="str">
        <f t="shared" si="41"/>
        <v>No</v>
      </c>
    </row>
    <row r="143" spans="1:31" x14ac:dyDescent="0.25">
      <c r="A143" s="227"/>
      <c r="B143" s="228"/>
      <c r="C143" s="228"/>
      <c r="D143" s="229"/>
      <c r="E143" s="229"/>
      <c r="F143" s="229"/>
      <c r="G143" s="229"/>
      <c r="H143" s="230"/>
      <c r="I143" s="229"/>
      <c r="J143" s="220"/>
      <c r="K143" s="216"/>
      <c r="L143" s="216"/>
      <c r="M143" s="217"/>
      <c r="N143" s="217"/>
      <c r="O143" s="217"/>
      <c r="P143" s="213" t="str">
        <f t="shared" si="28"/>
        <v>No</v>
      </c>
      <c r="Q143" s="148" t="str">
        <f t="shared" si="29"/>
        <v>No</v>
      </c>
      <c r="R143" t="e">
        <f>VLOOKUP(F143, Property!A:B, 2,0)</f>
        <v>#N/A</v>
      </c>
      <c r="T143">
        <f t="shared" si="30"/>
        <v>0</v>
      </c>
      <c r="U143">
        <f t="shared" si="31"/>
        <v>0</v>
      </c>
      <c r="V143">
        <f t="shared" si="32"/>
        <v>0</v>
      </c>
      <c r="W143">
        <f t="shared" si="33"/>
        <v>0</v>
      </c>
      <c r="X143">
        <f t="shared" si="34"/>
        <v>0</v>
      </c>
      <c r="Y143">
        <f t="shared" si="35"/>
        <v>0</v>
      </c>
      <c r="Z143" s="150" t="str">
        <f t="shared" si="36"/>
        <v>No</v>
      </c>
      <c r="AA143" s="150" t="str">
        <f t="shared" si="37"/>
        <v>No</v>
      </c>
      <c r="AB143">
        <f t="shared" si="38"/>
        <v>0</v>
      </c>
      <c r="AC143">
        <f t="shared" si="39"/>
        <v>0</v>
      </c>
      <c r="AD143" t="str">
        <f t="shared" si="40"/>
        <v>No</v>
      </c>
      <c r="AE143" t="str">
        <f t="shared" si="41"/>
        <v>No</v>
      </c>
    </row>
    <row r="144" spans="1:31" ht="18" customHeight="1" x14ac:dyDescent="0.25">
      <c r="A144" s="227"/>
      <c r="B144" s="228"/>
      <c r="C144" s="228"/>
      <c r="D144" s="229"/>
      <c r="E144" s="229"/>
      <c r="F144" s="229"/>
      <c r="G144" s="229"/>
      <c r="H144" s="230"/>
      <c r="I144" s="229"/>
      <c r="J144" s="220"/>
      <c r="K144" s="216"/>
      <c r="L144" s="216"/>
      <c r="M144" s="217"/>
      <c r="N144" s="217"/>
      <c r="O144" s="217"/>
      <c r="P144" s="213" t="str">
        <f t="shared" si="28"/>
        <v>No</v>
      </c>
      <c r="Q144" s="148" t="str">
        <f t="shared" si="29"/>
        <v>No</v>
      </c>
      <c r="R144" t="e">
        <f>VLOOKUP(F144, Property!A:B, 2,0)</f>
        <v>#N/A</v>
      </c>
      <c r="T144">
        <f t="shared" si="30"/>
        <v>0</v>
      </c>
      <c r="U144">
        <f t="shared" si="31"/>
        <v>0</v>
      </c>
      <c r="V144">
        <f t="shared" si="32"/>
        <v>0</v>
      </c>
      <c r="W144">
        <f t="shared" si="33"/>
        <v>0</v>
      </c>
      <c r="X144">
        <f t="shared" si="34"/>
        <v>0</v>
      </c>
      <c r="Y144">
        <f t="shared" si="35"/>
        <v>0</v>
      </c>
      <c r="Z144" s="150" t="str">
        <f t="shared" si="36"/>
        <v>No</v>
      </c>
      <c r="AA144" s="150" t="str">
        <f t="shared" si="37"/>
        <v>No</v>
      </c>
      <c r="AB144">
        <f t="shared" si="38"/>
        <v>0</v>
      </c>
      <c r="AC144">
        <f t="shared" si="39"/>
        <v>0</v>
      </c>
      <c r="AD144" t="str">
        <f t="shared" si="40"/>
        <v>No</v>
      </c>
      <c r="AE144" t="str">
        <f t="shared" si="41"/>
        <v>No</v>
      </c>
    </row>
    <row r="145" spans="1:31" x14ac:dyDescent="0.25">
      <c r="A145" s="227"/>
      <c r="B145" s="228"/>
      <c r="C145" s="228"/>
      <c r="D145" s="229"/>
      <c r="E145" s="229"/>
      <c r="F145" s="229"/>
      <c r="G145" s="229"/>
      <c r="H145" s="230"/>
      <c r="I145" s="229"/>
      <c r="J145" s="220"/>
      <c r="K145" s="216"/>
      <c r="L145" s="216"/>
      <c r="M145" s="217"/>
      <c r="N145" s="217"/>
      <c r="O145" s="217"/>
      <c r="P145" s="213" t="str">
        <f t="shared" si="28"/>
        <v>No</v>
      </c>
      <c r="Q145" s="148" t="str">
        <f t="shared" si="29"/>
        <v>No</v>
      </c>
      <c r="R145" t="e">
        <f>VLOOKUP(F145, Property!A:B, 2,0)</f>
        <v>#N/A</v>
      </c>
      <c r="T145">
        <f t="shared" si="30"/>
        <v>0</v>
      </c>
      <c r="U145">
        <f t="shared" si="31"/>
        <v>0</v>
      </c>
      <c r="V145">
        <f t="shared" si="32"/>
        <v>0</v>
      </c>
      <c r="W145">
        <f t="shared" si="33"/>
        <v>0</v>
      </c>
      <c r="X145">
        <f t="shared" si="34"/>
        <v>0</v>
      </c>
      <c r="Y145">
        <f t="shared" si="35"/>
        <v>0</v>
      </c>
      <c r="Z145" s="150" t="str">
        <f t="shared" si="36"/>
        <v>No</v>
      </c>
      <c r="AA145" s="150" t="str">
        <f t="shared" si="37"/>
        <v>No</v>
      </c>
      <c r="AB145">
        <f t="shared" si="38"/>
        <v>0</v>
      </c>
      <c r="AC145">
        <f t="shared" si="39"/>
        <v>0</v>
      </c>
      <c r="AD145" t="str">
        <f t="shared" si="40"/>
        <v>No</v>
      </c>
      <c r="AE145" t="str">
        <f t="shared" si="41"/>
        <v>No</v>
      </c>
    </row>
    <row r="146" spans="1:31" x14ac:dyDescent="0.25">
      <c r="A146" s="227"/>
      <c r="B146" s="228"/>
      <c r="C146" s="228"/>
      <c r="D146" s="229"/>
      <c r="E146" s="229"/>
      <c r="F146" s="229"/>
      <c r="G146" s="229"/>
      <c r="H146" s="229"/>
      <c r="I146" s="229"/>
      <c r="J146" s="220"/>
      <c r="K146" s="216"/>
      <c r="L146" s="216"/>
      <c r="M146" s="216"/>
      <c r="N146" s="217"/>
      <c r="O146" s="217"/>
      <c r="P146" s="213" t="str">
        <f t="shared" si="28"/>
        <v>No</v>
      </c>
      <c r="Q146" s="148" t="str">
        <f t="shared" si="29"/>
        <v>No</v>
      </c>
      <c r="R146" t="e">
        <f>VLOOKUP(F146, Property!A:B, 2,0)</f>
        <v>#N/A</v>
      </c>
      <c r="T146">
        <f t="shared" si="30"/>
        <v>0</v>
      </c>
      <c r="U146">
        <f t="shared" si="31"/>
        <v>0</v>
      </c>
      <c r="V146">
        <f t="shared" si="32"/>
        <v>0</v>
      </c>
      <c r="W146">
        <f t="shared" si="33"/>
        <v>0</v>
      </c>
      <c r="X146">
        <f t="shared" si="34"/>
        <v>0</v>
      </c>
      <c r="Y146">
        <f t="shared" si="35"/>
        <v>0</v>
      </c>
      <c r="Z146" s="150" t="str">
        <f t="shared" si="36"/>
        <v>No</v>
      </c>
      <c r="AA146" s="150" t="str">
        <f t="shared" si="37"/>
        <v>No</v>
      </c>
      <c r="AB146">
        <f t="shared" si="38"/>
        <v>0</v>
      </c>
      <c r="AC146">
        <f t="shared" si="39"/>
        <v>0</v>
      </c>
      <c r="AD146" t="str">
        <f t="shared" si="40"/>
        <v>No</v>
      </c>
      <c r="AE146" t="str">
        <f t="shared" si="41"/>
        <v>No</v>
      </c>
    </row>
    <row r="147" spans="1:31" x14ac:dyDescent="0.25">
      <c r="A147" s="227"/>
      <c r="B147" s="228"/>
      <c r="C147" s="228"/>
      <c r="D147" s="229"/>
      <c r="E147" s="229"/>
      <c r="F147" s="229"/>
      <c r="G147" s="229"/>
      <c r="H147" s="229"/>
      <c r="I147" s="229"/>
      <c r="J147" s="220"/>
      <c r="K147" s="216"/>
      <c r="L147" s="216"/>
      <c r="M147" s="217"/>
      <c r="N147" s="217"/>
      <c r="O147" s="217"/>
      <c r="P147" s="213" t="str">
        <f t="shared" si="28"/>
        <v>No</v>
      </c>
      <c r="Q147" s="148" t="str">
        <f t="shared" si="29"/>
        <v>No</v>
      </c>
      <c r="R147" t="e">
        <f>VLOOKUP(F147, Property!A:B, 2,0)</f>
        <v>#N/A</v>
      </c>
      <c r="T147">
        <f t="shared" si="30"/>
        <v>0</v>
      </c>
      <c r="U147">
        <f t="shared" si="31"/>
        <v>0</v>
      </c>
      <c r="V147">
        <f t="shared" si="32"/>
        <v>0</v>
      </c>
      <c r="W147">
        <f t="shared" si="33"/>
        <v>0</v>
      </c>
      <c r="X147">
        <f t="shared" si="34"/>
        <v>0</v>
      </c>
      <c r="Y147">
        <f t="shared" si="35"/>
        <v>0</v>
      </c>
      <c r="Z147" s="150" t="str">
        <f t="shared" si="36"/>
        <v>No</v>
      </c>
      <c r="AA147" s="150" t="str">
        <f t="shared" si="37"/>
        <v>No</v>
      </c>
      <c r="AB147">
        <f t="shared" si="38"/>
        <v>0</v>
      </c>
      <c r="AC147">
        <f t="shared" si="39"/>
        <v>0</v>
      </c>
      <c r="AD147" t="str">
        <f t="shared" si="40"/>
        <v>No</v>
      </c>
      <c r="AE147" t="str">
        <f t="shared" si="41"/>
        <v>No</v>
      </c>
    </row>
    <row r="148" spans="1:31" x14ac:dyDescent="0.25">
      <c r="A148" s="227"/>
      <c r="B148" s="228"/>
      <c r="C148" s="228"/>
      <c r="D148" s="229"/>
      <c r="E148" s="229"/>
      <c r="F148" s="229"/>
      <c r="G148" s="229"/>
      <c r="H148" s="230"/>
      <c r="I148" s="229"/>
      <c r="J148" s="220"/>
      <c r="K148" s="216"/>
      <c r="L148" s="216"/>
      <c r="M148" s="217"/>
      <c r="N148" s="217"/>
      <c r="O148" s="217"/>
      <c r="P148" s="213" t="str">
        <f t="shared" si="28"/>
        <v>No</v>
      </c>
      <c r="Q148" s="148" t="str">
        <f t="shared" si="29"/>
        <v>No</v>
      </c>
      <c r="R148" t="e">
        <f>VLOOKUP(F148, Property!A:B, 2,0)</f>
        <v>#N/A</v>
      </c>
      <c r="T148">
        <f t="shared" si="30"/>
        <v>0</v>
      </c>
      <c r="U148">
        <f t="shared" si="31"/>
        <v>0</v>
      </c>
      <c r="V148">
        <f t="shared" si="32"/>
        <v>0</v>
      </c>
      <c r="W148">
        <f t="shared" si="33"/>
        <v>0</v>
      </c>
      <c r="X148">
        <f t="shared" si="34"/>
        <v>0</v>
      </c>
      <c r="Y148">
        <f t="shared" si="35"/>
        <v>0</v>
      </c>
      <c r="Z148" s="150" t="str">
        <f t="shared" si="36"/>
        <v>No</v>
      </c>
      <c r="AA148" s="150" t="str">
        <f t="shared" si="37"/>
        <v>No</v>
      </c>
      <c r="AB148">
        <f t="shared" si="38"/>
        <v>0</v>
      </c>
      <c r="AC148">
        <f t="shared" si="39"/>
        <v>0</v>
      </c>
      <c r="AD148" t="str">
        <f t="shared" si="40"/>
        <v>No</v>
      </c>
      <c r="AE148" t="str">
        <f t="shared" si="41"/>
        <v>No</v>
      </c>
    </row>
    <row r="149" spans="1:31" x14ac:dyDescent="0.25">
      <c r="A149" s="227"/>
      <c r="B149" s="228"/>
      <c r="C149" s="228"/>
      <c r="D149" s="229"/>
      <c r="E149" s="229"/>
      <c r="F149" s="229"/>
      <c r="G149" s="229"/>
      <c r="H149" s="229"/>
      <c r="I149" s="229"/>
      <c r="J149" s="220"/>
      <c r="K149" s="216"/>
      <c r="L149" s="216"/>
      <c r="M149" s="217"/>
      <c r="N149" s="217"/>
      <c r="O149" s="217"/>
      <c r="P149" s="213" t="str">
        <f t="shared" si="28"/>
        <v>No</v>
      </c>
      <c r="Q149" s="148" t="str">
        <f t="shared" si="29"/>
        <v>No</v>
      </c>
      <c r="R149" t="e">
        <f>VLOOKUP(F149, Property!A:B, 2,0)</f>
        <v>#N/A</v>
      </c>
      <c r="T149">
        <f t="shared" si="30"/>
        <v>0</v>
      </c>
      <c r="U149">
        <f t="shared" si="31"/>
        <v>0</v>
      </c>
      <c r="V149">
        <f t="shared" si="32"/>
        <v>0</v>
      </c>
      <c r="W149">
        <f t="shared" si="33"/>
        <v>0</v>
      </c>
      <c r="X149">
        <f t="shared" si="34"/>
        <v>0</v>
      </c>
      <c r="Y149">
        <f t="shared" si="35"/>
        <v>0</v>
      </c>
      <c r="Z149" s="150" t="str">
        <f t="shared" si="36"/>
        <v>No</v>
      </c>
      <c r="AA149" s="150" t="str">
        <f t="shared" si="37"/>
        <v>No</v>
      </c>
      <c r="AB149">
        <f t="shared" si="38"/>
        <v>0</v>
      </c>
      <c r="AC149">
        <f t="shared" si="39"/>
        <v>0</v>
      </c>
      <c r="AD149" t="str">
        <f t="shared" si="40"/>
        <v>No</v>
      </c>
      <c r="AE149" t="str">
        <f t="shared" si="41"/>
        <v>No</v>
      </c>
    </row>
    <row r="150" spans="1:31" x14ac:dyDescent="0.25">
      <c r="A150" s="227"/>
      <c r="B150" s="228"/>
      <c r="C150" s="228"/>
      <c r="D150" s="229"/>
      <c r="E150" s="229"/>
      <c r="F150" s="229"/>
      <c r="G150" s="229"/>
      <c r="H150" s="229"/>
      <c r="I150" s="229"/>
      <c r="J150" s="220"/>
      <c r="K150" s="216"/>
      <c r="L150" s="216"/>
      <c r="M150" s="217"/>
      <c r="N150" s="217"/>
      <c r="O150" s="217"/>
      <c r="P150" s="213" t="str">
        <f t="shared" si="28"/>
        <v>No</v>
      </c>
      <c r="Q150" s="148" t="str">
        <f t="shared" si="29"/>
        <v>No</v>
      </c>
      <c r="R150" t="e">
        <f>VLOOKUP(F150, Property!A:B, 2,0)</f>
        <v>#N/A</v>
      </c>
      <c r="T150">
        <f t="shared" si="30"/>
        <v>0</v>
      </c>
      <c r="U150">
        <f t="shared" si="31"/>
        <v>0</v>
      </c>
      <c r="V150">
        <f t="shared" si="32"/>
        <v>0</v>
      </c>
      <c r="W150">
        <f t="shared" si="33"/>
        <v>0</v>
      </c>
      <c r="X150">
        <f t="shared" si="34"/>
        <v>0</v>
      </c>
      <c r="Y150">
        <f t="shared" si="35"/>
        <v>0</v>
      </c>
      <c r="Z150" s="150" t="str">
        <f t="shared" si="36"/>
        <v>No</v>
      </c>
      <c r="AA150" s="150" t="str">
        <f t="shared" si="37"/>
        <v>No</v>
      </c>
      <c r="AB150">
        <f t="shared" si="38"/>
        <v>0</v>
      </c>
      <c r="AC150">
        <f t="shared" si="39"/>
        <v>0</v>
      </c>
      <c r="AD150" t="str">
        <f t="shared" si="40"/>
        <v>No</v>
      </c>
      <c r="AE150" t="str">
        <f t="shared" si="41"/>
        <v>No</v>
      </c>
    </row>
    <row r="151" spans="1:31" x14ac:dyDescent="0.25">
      <c r="A151" s="227"/>
      <c r="B151" s="228"/>
      <c r="C151" s="228"/>
      <c r="D151" s="229"/>
      <c r="E151" s="229"/>
      <c r="F151" s="229"/>
      <c r="G151" s="229"/>
      <c r="H151" s="229"/>
      <c r="I151" s="229"/>
      <c r="J151" s="220"/>
      <c r="K151" s="216"/>
      <c r="L151" s="216"/>
      <c r="M151" s="217"/>
      <c r="N151" s="217"/>
      <c r="O151" s="217"/>
      <c r="P151" s="213" t="str">
        <f t="shared" si="28"/>
        <v>No</v>
      </c>
      <c r="Q151" s="148" t="str">
        <f t="shared" si="29"/>
        <v>No</v>
      </c>
      <c r="R151" t="e">
        <f>VLOOKUP(F151, Property!A:B, 2,0)</f>
        <v>#N/A</v>
      </c>
      <c r="T151">
        <f t="shared" si="30"/>
        <v>0</v>
      </c>
      <c r="U151">
        <f t="shared" si="31"/>
        <v>0</v>
      </c>
      <c r="V151">
        <f t="shared" si="32"/>
        <v>0</v>
      </c>
      <c r="W151">
        <f t="shared" si="33"/>
        <v>0</v>
      </c>
      <c r="X151">
        <f t="shared" si="34"/>
        <v>0</v>
      </c>
      <c r="Y151">
        <f t="shared" si="35"/>
        <v>0</v>
      </c>
      <c r="Z151" s="150" t="str">
        <f t="shared" si="36"/>
        <v>No</v>
      </c>
      <c r="AA151" s="150" t="str">
        <f t="shared" si="37"/>
        <v>No</v>
      </c>
      <c r="AB151">
        <f t="shared" si="38"/>
        <v>0</v>
      </c>
      <c r="AC151">
        <f t="shared" si="39"/>
        <v>0</v>
      </c>
      <c r="AD151" t="str">
        <f t="shared" si="40"/>
        <v>No</v>
      </c>
      <c r="AE151" t="str">
        <f t="shared" si="41"/>
        <v>No</v>
      </c>
    </row>
    <row r="152" spans="1:31" x14ac:dyDescent="0.25">
      <c r="A152" s="227"/>
      <c r="B152" s="228"/>
      <c r="C152" s="228"/>
      <c r="D152" s="229"/>
      <c r="E152" s="229"/>
      <c r="F152" s="229"/>
      <c r="G152" s="229"/>
      <c r="H152" s="229"/>
      <c r="I152" s="229"/>
      <c r="J152" s="220"/>
      <c r="K152" s="216"/>
      <c r="L152" s="216"/>
      <c r="M152" s="217"/>
      <c r="N152" s="217"/>
      <c r="O152" s="217"/>
      <c r="P152" s="213" t="str">
        <f t="shared" si="28"/>
        <v>No</v>
      </c>
      <c r="Q152" s="148" t="str">
        <f t="shared" si="29"/>
        <v>No</v>
      </c>
      <c r="R152" t="e">
        <f>VLOOKUP(F152, Property!A:B, 2,0)</f>
        <v>#N/A</v>
      </c>
      <c r="T152">
        <f t="shared" si="30"/>
        <v>0</v>
      </c>
      <c r="U152">
        <f t="shared" si="31"/>
        <v>0</v>
      </c>
      <c r="V152">
        <f t="shared" si="32"/>
        <v>0</v>
      </c>
      <c r="W152">
        <f t="shared" si="33"/>
        <v>0</v>
      </c>
      <c r="X152">
        <f t="shared" si="34"/>
        <v>0</v>
      </c>
      <c r="Y152">
        <f t="shared" si="35"/>
        <v>0</v>
      </c>
      <c r="Z152" s="150" t="str">
        <f t="shared" si="36"/>
        <v>No</v>
      </c>
      <c r="AA152" s="150" t="str">
        <f t="shared" si="37"/>
        <v>No</v>
      </c>
      <c r="AB152">
        <f t="shared" si="38"/>
        <v>0</v>
      </c>
      <c r="AC152">
        <f t="shared" si="39"/>
        <v>0</v>
      </c>
      <c r="AD152" t="str">
        <f t="shared" si="40"/>
        <v>No</v>
      </c>
      <c r="AE152" t="str">
        <f t="shared" si="41"/>
        <v>No</v>
      </c>
    </row>
    <row r="153" spans="1:31" x14ac:dyDescent="0.25">
      <c r="A153" s="227"/>
      <c r="B153" s="228"/>
      <c r="C153" s="228"/>
      <c r="D153" s="229"/>
      <c r="E153" s="229"/>
      <c r="F153" s="229"/>
      <c r="G153" s="229"/>
      <c r="H153" s="229"/>
      <c r="I153" s="229"/>
      <c r="J153" s="220"/>
      <c r="K153" s="216"/>
      <c r="L153" s="216"/>
      <c r="M153" s="217"/>
      <c r="N153" s="217"/>
      <c r="O153" s="217"/>
      <c r="P153" s="213" t="str">
        <f t="shared" si="28"/>
        <v>No</v>
      </c>
      <c r="Q153" s="148" t="str">
        <f t="shared" si="29"/>
        <v>No</v>
      </c>
      <c r="R153" t="e">
        <f>VLOOKUP(F153, Property!A:B, 2,0)</f>
        <v>#N/A</v>
      </c>
      <c r="T153">
        <f t="shared" si="30"/>
        <v>0</v>
      </c>
      <c r="U153">
        <f t="shared" si="31"/>
        <v>0</v>
      </c>
      <c r="V153">
        <f t="shared" si="32"/>
        <v>0</v>
      </c>
      <c r="W153">
        <f t="shared" si="33"/>
        <v>0</v>
      </c>
      <c r="X153">
        <f t="shared" si="34"/>
        <v>0</v>
      </c>
      <c r="Y153">
        <f t="shared" si="35"/>
        <v>0</v>
      </c>
      <c r="Z153" s="150" t="str">
        <f t="shared" si="36"/>
        <v>No</v>
      </c>
      <c r="AA153" s="150" t="str">
        <f t="shared" si="37"/>
        <v>No</v>
      </c>
      <c r="AB153">
        <f t="shared" si="38"/>
        <v>0</v>
      </c>
      <c r="AC153">
        <f t="shared" si="39"/>
        <v>0</v>
      </c>
      <c r="AD153" t="str">
        <f t="shared" si="40"/>
        <v>No</v>
      </c>
      <c r="AE153" t="str">
        <f t="shared" si="41"/>
        <v>No</v>
      </c>
    </row>
    <row r="154" spans="1:31" x14ac:dyDescent="0.25">
      <c r="A154" s="227"/>
      <c r="B154" s="228"/>
      <c r="C154" s="228"/>
      <c r="D154" s="229"/>
      <c r="E154" s="229"/>
      <c r="F154" s="229"/>
      <c r="G154" s="229"/>
      <c r="H154" s="229"/>
      <c r="I154" s="229"/>
      <c r="J154" s="220"/>
      <c r="K154" s="216"/>
      <c r="L154" s="216"/>
      <c r="M154" s="217"/>
      <c r="N154" s="217"/>
      <c r="O154" s="217"/>
      <c r="P154" s="213" t="str">
        <f t="shared" si="28"/>
        <v>No</v>
      </c>
      <c r="Q154" s="148" t="str">
        <f t="shared" si="29"/>
        <v>No</v>
      </c>
      <c r="R154" t="e">
        <f>VLOOKUP(F154, Property!A:B, 2,0)</f>
        <v>#N/A</v>
      </c>
      <c r="T154">
        <f t="shared" si="30"/>
        <v>0</v>
      </c>
      <c r="U154">
        <f t="shared" si="31"/>
        <v>0</v>
      </c>
      <c r="V154">
        <f t="shared" si="32"/>
        <v>0</v>
      </c>
      <c r="W154">
        <f t="shared" si="33"/>
        <v>0</v>
      </c>
      <c r="X154">
        <f t="shared" si="34"/>
        <v>0</v>
      </c>
      <c r="Y154">
        <f t="shared" si="35"/>
        <v>0</v>
      </c>
      <c r="Z154" s="150" t="str">
        <f t="shared" si="36"/>
        <v>No</v>
      </c>
      <c r="AA154" s="150" t="str">
        <f t="shared" si="37"/>
        <v>No</v>
      </c>
      <c r="AB154">
        <f t="shared" si="38"/>
        <v>0</v>
      </c>
      <c r="AC154">
        <f t="shared" si="39"/>
        <v>0</v>
      </c>
      <c r="AD154" t="str">
        <f t="shared" si="40"/>
        <v>No</v>
      </c>
      <c r="AE154" t="str">
        <f t="shared" si="41"/>
        <v>No</v>
      </c>
    </row>
    <row r="155" spans="1:31" x14ac:dyDescent="0.25">
      <c r="A155" s="227"/>
      <c r="B155" s="228"/>
      <c r="C155" s="228"/>
      <c r="D155" s="229"/>
      <c r="E155" s="229"/>
      <c r="F155" s="229"/>
      <c r="G155" s="229"/>
      <c r="H155" s="229"/>
      <c r="I155" s="229"/>
      <c r="J155" s="220"/>
      <c r="K155" s="216"/>
      <c r="L155" s="216"/>
      <c r="M155" s="217"/>
      <c r="N155" s="217"/>
      <c r="O155" s="217"/>
      <c r="P155" s="213" t="str">
        <f t="shared" si="28"/>
        <v>No</v>
      </c>
      <c r="Q155" s="148" t="str">
        <f t="shared" si="29"/>
        <v>No</v>
      </c>
      <c r="R155" t="e">
        <f>VLOOKUP(F155, Property!A:B, 2,0)</f>
        <v>#N/A</v>
      </c>
      <c r="T155">
        <f t="shared" si="30"/>
        <v>0</v>
      </c>
      <c r="U155">
        <f t="shared" si="31"/>
        <v>0</v>
      </c>
      <c r="V155">
        <f t="shared" si="32"/>
        <v>0</v>
      </c>
      <c r="W155">
        <f t="shared" si="33"/>
        <v>0</v>
      </c>
      <c r="X155">
        <f t="shared" si="34"/>
        <v>0</v>
      </c>
      <c r="Y155">
        <f t="shared" si="35"/>
        <v>0</v>
      </c>
      <c r="Z155" s="150" t="str">
        <f t="shared" si="36"/>
        <v>No</v>
      </c>
      <c r="AA155" s="150" t="str">
        <f t="shared" si="37"/>
        <v>No</v>
      </c>
      <c r="AB155">
        <f t="shared" si="38"/>
        <v>0</v>
      </c>
      <c r="AC155">
        <f t="shared" si="39"/>
        <v>0</v>
      </c>
      <c r="AD155" t="str">
        <f t="shared" si="40"/>
        <v>No</v>
      </c>
      <c r="AE155" t="str">
        <f t="shared" si="41"/>
        <v>No</v>
      </c>
    </row>
    <row r="156" spans="1:31" x14ac:dyDescent="0.25">
      <c r="A156" s="227"/>
      <c r="B156" s="228"/>
      <c r="C156" s="228"/>
      <c r="D156" s="229"/>
      <c r="E156" s="229"/>
      <c r="F156" s="229"/>
      <c r="G156" s="229"/>
      <c r="H156" s="229"/>
      <c r="I156" s="229"/>
      <c r="J156" s="220"/>
      <c r="K156" s="216"/>
      <c r="L156" s="216"/>
      <c r="M156" s="217"/>
      <c r="N156" s="217"/>
      <c r="O156" s="217"/>
      <c r="P156" s="213" t="str">
        <f t="shared" si="28"/>
        <v>No</v>
      </c>
      <c r="Q156" s="148" t="str">
        <f t="shared" si="29"/>
        <v>No</v>
      </c>
      <c r="R156" t="e">
        <f>VLOOKUP(F156, Property!A:B, 2,0)</f>
        <v>#N/A</v>
      </c>
      <c r="T156">
        <f t="shared" si="30"/>
        <v>0</v>
      </c>
      <c r="U156">
        <f t="shared" si="31"/>
        <v>0</v>
      </c>
      <c r="V156">
        <f t="shared" si="32"/>
        <v>0</v>
      </c>
      <c r="W156">
        <f t="shared" si="33"/>
        <v>0</v>
      </c>
      <c r="X156">
        <f t="shared" si="34"/>
        <v>0</v>
      </c>
      <c r="Y156">
        <f t="shared" si="35"/>
        <v>0</v>
      </c>
      <c r="Z156" s="150" t="str">
        <f t="shared" si="36"/>
        <v>No</v>
      </c>
      <c r="AA156" s="150" t="str">
        <f t="shared" si="37"/>
        <v>No</v>
      </c>
      <c r="AB156">
        <f t="shared" si="38"/>
        <v>0</v>
      </c>
      <c r="AC156">
        <f t="shared" si="39"/>
        <v>0</v>
      </c>
      <c r="AD156" t="str">
        <f t="shared" si="40"/>
        <v>No</v>
      </c>
      <c r="AE156" t="str">
        <f t="shared" si="41"/>
        <v>No</v>
      </c>
    </row>
    <row r="157" spans="1:31" x14ac:dyDescent="0.25">
      <c r="A157" s="227"/>
      <c r="B157" s="228"/>
      <c r="C157" s="228"/>
      <c r="D157" s="229"/>
      <c r="E157" s="229"/>
      <c r="F157" s="229"/>
      <c r="G157" s="229"/>
      <c r="H157" s="229"/>
      <c r="I157" s="229"/>
      <c r="J157" s="220"/>
      <c r="K157" s="216"/>
      <c r="L157" s="216"/>
      <c r="M157" s="217"/>
      <c r="N157" s="217"/>
      <c r="O157" s="217"/>
      <c r="P157" s="213" t="str">
        <f t="shared" si="28"/>
        <v>No</v>
      </c>
      <c r="Q157" s="148" t="str">
        <f t="shared" si="29"/>
        <v>No</v>
      </c>
      <c r="R157" t="e">
        <f>VLOOKUP(F157, Property!A:B, 2,0)</f>
        <v>#N/A</v>
      </c>
      <c r="T157">
        <f t="shared" si="30"/>
        <v>0</v>
      </c>
      <c r="U157">
        <f t="shared" si="31"/>
        <v>0</v>
      </c>
      <c r="V157">
        <f t="shared" si="32"/>
        <v>0</v>
      </c>
      <c r="W157">
        <f t="shared" si="33"/>
        <v>0</v>
      </c>
      <c r="X157">
        <f t="shared" si="34"/>
        <v>0</v>
      </c>
      <c r="Y157">
        <f t="shared" si="35"/>
        <v>0</v>
      </c>
      <c r="Z157" s="150" t="str">
        <f t="shared" si="36"/>
        <v>No</v>
      </c>
      <c r="AA157" s="150" t="str">
        <f t="shared" si="37"/>
        <v>No</v>
      </c>
      <c r="AB157">
        <f t="shared" si="38"/>
        <v>0</v>
      </c>
      <c r="AC157">
        <f t="shared" si="39"/>
        <v>0</v>
      </c>
      <c r="AD157" t="str">
        <f t="shared" si="40"/>
        <v>No</v>
      </c>
      <c r="AE157" t="str">
        <f t="shared" si="41"/>
        <v>No</v>
      </c>
    </row>
    <row r="158" spans="1:31" x14ac:dyDescent="0.25">
      <c r="A158" s="227"/>
      <c r="B158" s="228"/>
      <c r="C158" s="228"/>
      <c r="D158" s="229"/>
      <c r="E158" s="229"/>
      <c r="F158" s="229"/>
      <c r="G158" s="229"/>
      <c r="H158" s="229"/>
      <c r="I158" s="229"/>
      <c r="J158" s="220"/>
      <c r="K158" s="216"/>
      <c r="L158" s="216"/>
      <c r="M158" s="217"/>
      <c r="N158" s="217"/>
      <c r="O158" s="217"/>
      <c r="P158" s="213" t="str">
        <f t="shared" si="28"/>
        <v>No</v>
      </c>
      <c r="Q158" s="148" t="str">
        <f t="shared" si="29"/>
        <v>No</v>
      </c>
      <c r="R158" t="e">
        <f>VLOOKUP(F158, Property!A:B, 2,0)</f>
        <v>#N/A</v>
      </c>
      <c r="T158">
        <f t="shared" si="30"/>
        <v>0</v>
      </c>
      <c r="U158">
        <f t="shared" si="31"/>
        <v>0</v>
      </c>
      <c r="V158">
        <f t="shared" si="32"/>
        <v>0</v>
      </c>
      <c r="W158">
        <f t="shared" si="33"/>
        <v>0</v>
      </c>
      <c r="X158">
        <f t="shared" si="34"/>
        <v>0</v>
      </c>
      <c r="Y158">
        <f t="shared" si="35"/>
        <v>0</v>
      </c>
      <c r="Z158" s="150" t="str">
        <f t="shared" si="36"/>
        <v>No</v>
      </c>
      <c r="AA158" s="150" t="str">
        <f t="shared" si="37"/>
        <v>No</v>
      </c>
      <c r="AB158">
        <f t="shared" si="38"/>
        <v>0</v>
      </c>
      <c r="AC158">
        <f t="shared" si="39"/>
        <v>0</v>
      </c>
      <c r="AD158" t="str">
        <f t="shared" si="40"/>
        <v>No</v>
      </c>
      <c r="AE158" t="str">
        <f t="shared" si="41"/>
        <v>No</v>
      </c>
    </row>
    <row r="159" spans="1:31" x14ac:dyDescent="0.25">
      <c r="A159" s="227"/>
      <c r="B159" s="228"/>
      <c r="C159" s="228"/>
      <c r="D159" s="229"/>
      <c r="E159" s="229"/>
      <c r="F159" s="229"/>
      <c r="G159" s="229"/>
      <c r="H159" s="229"/>
      <c r="I159" s="229"/>
      <c r="J159" s="220"/>
      <c r="K159" s="216"/>
      <c r="L159" s="216"/>
      <c r="M159" s="217"/>
      <c r="N159" s="217"/>
      <c r="O159" s="217"/>
      <c r="P159" s="213" t="str">
        <f t="shared" si="28"/>
        <v>No</v>
      </c>
      <c r="Q159" s="148" t="str">
        <f t="shared" si="29"/>
        <v>No</v>
      </c>
      <c r="R159" t="e">
        <f>VLOOKUP(F159, Property!A:B, 2,0)</f>
        <v>#N/A</v>
      </c>
      <c r="T159">
        <f t="shared" si="30"/>
        <v>0</v>
      </c>
      <c r="U159">
        <f t="shared" si="31"/>
        <v>0</v>
      </c>
      <c r="V159">
        <f t="shared" si="32"/>
        <v>0</v>
      </c>
      <c r="W159">
        <f t="shared" si="33"/>
        <v>0</v>
      </c>
      <c r="X159">
        <f t="shared" si="34"/>
        <v>0</v>
      </c>
      <c r="Y159">
        <f t="shared" si="35"/>
        <v>0</v>
      </c>
      <c r="Z159" s="150" t="str">
        <f t="shared" si="36"/>
        <v>No</v>
      </c>
      <c r="AA159" s="150" t="str">
        <f t="shared" si="37"/>
        <v>No</v>
      </c>
      <c r="AB159">
        <f t="shared" si="38"/>
        <v>0</v>
      </c>
      <c r="AC159">
        <f t="shared" si="39"/>
        <v>0</v>
      </c>
      <c r="AD159" t="str">
        <f t="shared" si="40"/>
        <v>No</v>
      </c>
      <c r="AE159" t="str">
        <f t="shared" si="41"/>
        <v>No</v>
      </c>
    </row>
    <row r="160" spans="1:31" x14ac:dyDescent="0.25">
      <c r="A160" s="227"/>
      <c r="B160" s="228"/>
      <c r="C160" s="228"/>
      <c r="D160" s="229"/>
      <c r="E160" s="229"/>
      <c r="F160" s="229"/>
      <c r="G160" s="229"/>
      <c r="H160" s="230"/>
      <c r="I160" s="229"/>
      <c r="J160" s="220"/>
      <c r="K160" s="216"/>
      <c r="L160" s="216"/>
      <c r="M160" s="217"/>
      <c r="N160" s="217"/>
      <c r="O160" s="217"/>
      <c r="P160" s="213" t="str">
        <f t="shared" si="28"/>
        <v>No</v>
      </c>
      <c r="Q160" s="148" t="str">
        <f t="shared" si="29"/>
        <v>No</v>
      </c>
      <c r="R160" t="e">
        <f>VLOOKUP(F160, Property!A:B, 2,0)</f>
        <v>#N/A</v>
      </c>
      <c r="T160">
        <f t="shared" si="30"/>
        <v>0</v>
      </c>
      <c r="U160">
        <f t="shared" si="31"/>
        <v>0</v>
      </c>
      <c r="V160">
        <f t="shared" si="32"/>
        <v>0</v>
      </c>
      <c r="W160">
        <f t="shared" si="33"/>
        <v>0</v>
      </c>
      <c r="X160">
        <f t="shared" si="34"/>
        <v>0</v>
      </c>
      <c r="Y160">
        <f t="shared" si="35"/>
        <v>0</v>
      </c>
      <c r="Z160" s="150" t="str">
        <f t="shared" si="36"/>
        <v>No</v>
      </c>
      <c r="AA160" s="150" t="str">
        <f t="shared" si="37"/>
        <v>No</v>
      </c>
      <c r="AB160">
        <f t="shared" si="38"/>
        <v>0</v>
      </c>
      <c r="AC160">
        <f t="shared" si="39"/>
        <v>0</v>
      </c>
      <c r="AD160" t="str">
        <f t="shared" si="40"/>
        <v>No</v>
      </c>
      <c r="AE160" t="str">
        <f t="shared" si="41"/>
        <v>No</v>
      </c>
    </row>
    <row r="161" spans="1:31" x14ac:dyDescent="0.25">
      <c r="A161" s="227"/>
      <c r="B161" s="228"/>
      <c r="C161" s="228"/>
      <c r="D161" s="229"/>
      <c r="E161" s="229"/>
      <c r="F161" s="229"/>
      <c r="G161" s="229"/>
      <c r="H161" s="230"/>
      <c r="I161" s="229"/>
      <c r="J161" s="220"/>
      <c r="K161" s="216"/>
      <c r="L161" s="216"/>
      <c r="M161" s="217"/>
      <c r="N161" s="217"/>
      <c r="O161" s="217"/>
      <c r="P161" s="213" t="str">
        <f t="shared" si="28"/>
        <v>No</v>
      </c>
      <c r="Q161" s="148" t="str">
        <f t="shared" si="29"/>
        <v>No</v>
      </c>
      <c r="R161" t="e">
        <f>VLOOKUP(F161, Property!A:B, 2,0)</f>
        <v>#N/A</v>
      </c>
      <c r="T161">
        <f t="shared" si="30"/>
        <v>0</v>
      </c>
      <c r="U161">
        <f t="shared" si="31"/>
        <v>0</v>
      </c>
      <c r="V161">
        <f t="shared" si="32"/>
        <v>0</v>
      </c>
      <c r="W161">
        <f t="shared" si="33"/>
        <v>0</v>
      </c>
      <c r="X161">
        <f t="shared" si="34"/>
        <v>0</v>
      </c>
      <c r="Y161">
        <f t="shared" si="35"/>
        <v>0</v>
      </c>
      <c r="Z161" s="150" t="str">
        <f t="shared" si="36"/>
        <v>No</v>
      </c>
      <c r="AA161" s="150" t="str">
        <f t="shared" si="37"/>
        <v>No</v>
      </c>
      <c r="AB161">
        <f t="shared" si="38"/>
        <v>0</v>
      </c>
      <c r="AC161">
        <f t="shared" si="39"/>
        <v>0</v>
      </c>
      <c r="AD161" t="str">
        <f t="shared" si="40"/>
        <v>No</v>
      </c>
      <c r="AE161" t="str">
        <f t="shared" si="41"/>
        <v>No</v>
      </c>
    </row>
    <row r="162" spans="1:31" x14ac:dyDescent="0.25">
      <c r="A162" s="227"/>
      <c r="B162" s="228"/>
      <c r="C162" s="228"/>
      <c r="D162" s="229"/>
      <c r="E162" s="229"/>
      <c r="F162" s="229"/>
      <c r="G162" s="229"/>
      <c r="H162" s="230"/>
      <c r="I162" s="229"/>
      <c r="J162" s="220"/>
      <c r="K162" s="216"/>
      <c r="L162" s="216"/>
      <c r="M162" s="217"/>
      <c r="N162" s="217"/>
      <c r="O162" s="217"/>
      <c r="P162" s="213" t="str">
        <f t="shared" si="28"/>
        <v>No</v>
      </c>
      <c r="Q162" s="148" t="str">
        <f t="shared" si="29"/>
        <v>No</v>
      </c>
      <c r="R162" t="e">
        <f>VLOOKUP(F162, Property!A:B, 2,0)</f>
        <v>#N/A</v>
      </c>
      <c r="T162">
        <f t="shared" si="30"/>
        <v>0</v>
      </c>
      <c r="U162">
        <f t="shared" si="31"/>
        <v>0</v>
      </c>
      <c r="V162">
        <f t="shared" si="32"/>
        <v>0</v>
      </c>
      <c r="W162">
        <f t="shared" si="33"/>
        <v>0</v>
      </c>
      <c r="X162">
        <f t="shared" si="34"/>
        <v>0</v>
      </c>
      <c r="Y162">
        <f t="shared" si="35"/>
        <v>0</v>
      </c>
      <c r="Z162" s="150" t="str">
        <f t="shared" si="36"/>
        <v>No</v>
      </c>
      <c r="AA162" s="150" t="str">
        <f t="shared" si="37"/>
        <v>No</v>
      </c>
      <c r="AB162">
        <f t="shared" si="38"/>
        <v>0</v>
      </c>
      <c r="AC162">
        <f t="shared" si="39"/>
        <v>0</v>
      </c>
      <c r="AD162" t="str">
        <f t="shared" si="40"/>
        <v>No</v>
      </c>
      <c r="AE162" t="str">
        <f t="shared" si="41"/>
        <v>No</v>
      </c>
    </row>
    <row r="163" spans="1:31" x14ac:dyDescent="0.25">
      <c r="A163" s="227"/>
      <c r="B163" s="228"/>
      <c r="C163" s="228"/>
      <c r="D163" s="229"/>
      <c r="E163" s="229"/>
      <c r="F163" s="229"/>
      <c r="G163" s="229"/>
      <c r="H163" s="229"/>
      <c r="I163" s="229"/>
      <c r="J163" s="220"/>
      <c r="K163" s="216"/>
      <c r="L163" s="216"/>
      <c r="M163" s="217"/>
      <c r="N163" s="217"/>
      <c r="O163" s="217"/>
      <c r="P163" s="213" t="str">
        <f t="shared" si="28"/>
        <v>No</v>
      </c>
      <c r="Q163" s="148" t="str">
        <f t="shared" si="29"/>
        <v>No</v>
      </c>
      <c r="R163" t="e">
        <f>VLOOKUP(F163, Property!A:B, 2,0)</f>
        <v>#N/A</v>
      </c>
      <c r="T163">
        <f t="shared" si="30"/>
        <v>0</v>
      </c>
      <c r="U163">
        <f t="shared" si="31"/>
        <v>0</v>
      </c>
      <c r="V163">
        <f t="shared" si="32"/>
        <v>0</v>
      </c>
      <c r="W163">
        <f t="shared" si="33"/>
        <v>0</v>
      </c>
      <c r="X163">
        <f t="shared" si="34"/>
        <v>0</v>
      </c>
      <c r="Y163">
        <f t="shared" si="35"/>
        <v>0</v>
      </c>
      <c r="Z163" s="150" t="str">
        <f t="shared" si="36"/>
        <v>No</v>
      </c>
      <c r="AA163" s="150" t="str">
        <f t="shared" si="37"/>
        <v>No</v>
      </c>
      <c r="AB163">
        <f t="shared" si="38"/>
        <v>0</v>
      </c>
      <c r="AC163">
        <f t="shared" si="39"/>
        <v>0</v>
      </c>
      <c r="AD163" t="str">
        <f t="shared" si="40"/>
        <v>No</v>
      </c>
      <c r="AE163" t="str">
        <f t="shared" si="41"/>
        <v>No</v>
      </c>
    </row>
    <row r="164" spans="1:31" x14ac:dyDescent="0.25">
      <c r="A164" s="227"/>
      <c r="B164" s="228"/>
      <c r="C164" s="228"/>
      <c r="D164" s="229"/>
      <c r="E164" s="229"/>
      <c r="F164" s="229"/>
      <c r="G164" s="229"/>
      <c r="H164" s="229"/>
      <c r="I164" s="229"/>
      <c r="J164" s="220"/>
      <c r="K164" s="216"/>
      <c r="L164" s="216"/>
      <c r="M164" s="217"/>
      <c r="N164" s="217"/>
      <c r="O164" s="217"/>
      <c r="P164" s="213" t="str">
        <f t="shared" si="28"/>
        <v>No</v>
      </c>
      <c r="Q164" s="148" t="str">
        <f t="shared" si="29"/>
        <v>No</v>
      </c>
      <c r="R164" t="e">
        <f>VLOOKUP(F164, Property!A:B, 2,0)</f>
        <v>#N/A</v>
      </c>
      <c r="T164">
        <f t="shared" si="30"/>
        <v>0</v>
      </c>
      <c r="U164">
        <f t="shared" si="31"/>
        <v>0</v>
      </c>
      <c r="V164">
        <f t="shared" si="32"/>
        <v>0</v>
      </c>
      <c r="W164">
        <f t="shared" si="33"/>
        <v>0</v>
      </c>
      <c r="X164">
        <f t="shared" si="34"/>
        <v>0</v>
      </c>
      <c r="Y164">
        <f t="shared" si="35"/>
        <v>0</v>
      </c>
      <c r="Z164" s="150" t="str">
        <f t="shared" si="36"/>
        <v>No</v>
      </c>
      <c r="AA164" s="150" t="str">
        <f t="shared" si="37"/>
        <v>No</v>
      </c>
      <c r="AB164">
        <f t="shared" si="38"/>
        <v>0</v>
      </c>
      <c r="AC164">
        <f t="shared" si="39"/>
        <v>0</v>
      </c>
      <c r="AD164" t="str">
        <f t="shared" si="40"/>
        <v>No</v>
      </c>
      <c r="AE164" t="str">
        <f t="shared" si="41"/>
        <v>No</v>
      </c>
    </row>
    <row r="165" spans="1:31" x14ac:dyDescent="0.25">
      <c r="A165" s="227"/>
      <c r="B165" s="228"/>
      <c r="C165" s="228"/>
      <c r="D165" s="229"/>
      <c r="E165" s="229"/>
      <c r="F165" s="229"/>
      <c r="G165" s="229"/>
      <c r="H165" s="230"/>
      <c r="I165" s="229"/>
      <c r="J165" s="220"/>
      <c r="K165" s="216"/>
      <c r="L165" s="216"/>
      <c r="M165" s="216"/>
      <c r="N165" s="217"/>
      <c r="O165" s="217"/>
      <c r="P165" s="213" t="str">
        <f t="shared" si="28"/>
        <v>No</v>
      </c>
      <c r="Q165" s="148" t="str">
        <f t="shared" si="29"/>
        <v>No</v>
      </c>
      <c r="R165" t="e">
        <f>VLOOKUP(F165, Property!A:B, 2,0)</f>
        <v>#N/A</v>
      </c>
      <c r="T165">
        <f t="shared" si="30"/>
        <v>0</v>
      </c>
      <c r="U165">
        <f t="shared" si="31"/>
        <v>0</v>
      </c>
      <c r="V165">
        <f t="shared" si="32"/>
        <v>0</v>
      </c>
      <c r="W165">
        <f t="shared" si="33"/>
        <v>0</v>
      </c>
      <c r="X165">
        <f t="shared" si="34"/>
        <v>0</v>
      </c>
      <c r="Y165">
        <f t="shared" si="35"/>
        <v>0</v>
      </c>
      <c r="Z165" s="150" t="str">
        <f t="shared" si="36"/>
        <v>No</v>
      </c>
      <c r="AA165" s="150" t="str">
        <f t="shared" si="37"/>
        <v>No</v>
      </c>
      <c r="AB165">
        <f t="shared" si="38"/>
        <v>0</v>
      </c>
      <c r="AC165">
        <f t="shared" si="39"/>
        <v>0</v>
      </c>
      <c r="AD165" t="str">
        <f t="shared" si="40"/>
        <v>No</v>
      </c>
      <c r="AE165" t="str">
        <f t="shared" si="41"/>
        <v>No</v>
      </c>
    </row>
    <row r="166" spans="1:31" x14ac:dyDescent="0.25">
      <c r="A166" s="227"/>
      <c r="B166" s="228"/>
      <c r="C166" s="228"/>
      <c r="D166" s="229"/>
      <c r="E166" s="229"/>
      <c r="F166" s="229"/>
      <c r="G166" s="229"/>
      <c r="H166" s="230"/>
      <c r="I166" s="229"/>
      <c r="J166" s="220"/>
      <c r="K166" s="216"/>
      <c r="L166" s="216"/>
      <c r="M166" s="216"/>
      <c r="N166" s="217"/>
      <c r="O166" s="217"/>
      <c r="P166" s="213" t="str">
        <f t="shared" si="28"/>
        <v>No</v>
      </c>
      <c r="Q166" s="148" t="str">
        <f t="shared" si="29"/>
        <v>No</v>
      </c>
      <c r="R166" t="e">
        <f>VLOOKUP(F166, Property!A:B, 2,0)</f>
        <v>#N/A</v>
      </c>
      <c r="T166">
        <f t="shared" si="30"/>
        <v>0</v>
      </c>
      <c r="U166">
        <f t="shared" si="31"/>
        <v>0</v>
      </c>
      <c r="V166">
        <f t="shared" si="32"/>
        <v>0</v>
      </c>
      <c r="W166">
        <f t="shared" si="33"/>
        <v>0</v>
      </c>
      <c r="X166">
        <f t="shared" si="34"/>
        <v>0</v>
      </c>
      <c r="Y166">
        <f t="shared" si="35"/>
        <v>0</v>
      </c>
      <c r="Z166" s="150" t="str">
        <f t="shared" si="36"/>
        <v>No</v>
      </c>
      <c r="AA166" s="150" t="str">
        <f t="shared" si="37"/>
        <v>No</v>
      </c>
      <c r="AB166">
        <f t="shared" si="38"/>
        <v>0</v>
      </c>
      <c r="AC166">
        <f t="shared" si="39"/>
        <v>0</v>
      </c>
      <c r="AD166" t="str">
        <f t="shared" si="40"/>
        <v>No</v>
      </c>
      <c r="AE166" t="str">
        <f t="shared" si="41"/>
        <v>No</v>
      </c>
    </row>
    <row r="167" spans="1:31" x14ac:dyDescent="0.25">
      <c r="A167" s="227"/>
      <c r="B167" s="228"/>
      <c r="C167" s="228"/>
      <c r="D167" s="229"/>
      <c r="E167" s="229"/>
      <c r="F167" s="229"/>
      <c r="G167" s="229"/>
      <c r="H167" s="230"/>
      <c r="I167" s="229"/>
      <c r="J167" s="220"/>
      <c r="K167" s="216"/>
      <c r="L167" s="216"/>
      <c r="M167" s="217"/>
      <c r="N167" s="217"/>
      <c r="O167" s="217"/>
      <c r="P167" s="213" t="str">
        <f t="shared" si="28"/>
        <v>No</v>
      </c>
      <c r="Q167" s="148" t="str">
        <f t="shared" si="29"/>
        <v>No</v>
      </c>
      <c r="R167" t="e">
        <f>VLOOKUP(F167, Property!A:B, 2,0)</f>
        <v>#N/A</v>
      </c>
      <c r="T167">
        <f t="shared" si="30"/>
        <v>0</v>
      </c>
      <c r="U167">
        <f t="shared" si="31"/>
        <v>0</v>
      </c>
      <c r="V167">
        <f t="shared" si="32"/>
        <v>0</v>
      </c>
      <c r="W167">
        <f t="shared" si="33"/>
        <v>0</v>
      </c>
      <c r="X167">
        <f t="shared" si="34"/>
        <v>0</v>
      </c>
      <c r="Y167">
        <f t="shared" si="35"/>
        <v>0</v>
      </c>
      <c r="Z167" s="150" t="str">
        <f t="shared" si="36"/>
        <v>No</v>
      </c>
      <c r="AA167" s="150" t="str">
        <f t="shared" si="37"/>
        <v>No</v>
      </c>
      <c r="AB167">
        <f t="shared" si="38"/>
        <v>0</v>
      </c>
      <c r="AC167">
        <f t="shared" si="39"/>
        <v>0</v>
      </c>
      <c r="AD167" t="str">
        <f t="shared" si="40"/>
        <v>No</v>
      </c>
      <c r="AE167" t="str">
        <f t="shared" si="41"/>
        <v>No</v>
      </c>
    </row>
    <row r="168" spans="1:31" x14ac:dyDescent="0.25">
      <c r="A168" s="227"/>
      <c r="B168" s="228"/>
      <c r="C168" s="228"/>
      <c r="D168" s="229"/>
      <c r="E168" s="229"/>
      <c r="F168" s="229"/>
      <c r="G168" s="229"/>
      <c r="H168" s="230"/>
      <c r="I168" s="229"/>
      <c r="J168" s="220"/>
      <c r="K168" s="216"/>
      <c r="L168" s="216"/>
      <c r="M168" s="217"/>
      <c r="N168" s="217"/>
      <c r="O168" s="217"/>
      <c r="P168" s="213" t="str">
        <f t="shared" si="28"/>
        <v>No</v>
      </c>
      <c r="Q168" s="148" t="str">
        <f t="shared" si="29"/>
        <v>No</v>
      </c>
      <c r="R168" t="e">
        <f>VLOOKUP(F168, Property!A:B, 2,0)</f>
        <v>#N/A</v>
      </c>
      <c r="T168">
        <f t="shared" si="30"/>
        <v>0</v>
      </c>
      <c r="U168">
        <f t="shared" si="31"/>
        <v>0</v>
      </c>
      <c r="V168">
        <f t="shared" si="32"/>
        <v>0</v>
      </c>
      <c r="W168">
        <f t="shared" si="33"/>
        <v>0</v>
      </c>
      <c r="X168">
        <f t="shared" si="34"/>
        <v>0</v>
      </c>
      <c r="Y168">
        <f t="shared" si="35"/>
        <v>0</v>
      </c>
      <c r="Z168" s="150" t="str">
        <f t="shared" si="36"/>
        <v>No</v>
      </c>
      <c r="AA168" s="150" t="str">
        <f t="shared" si="37"/>
        <v>No</v>
      </c>
      <c r="AB168">
        <f t="shared" si="38"/>
        <v>0</v>
      </c>
      <c r="AC168">
        <f t="shared" si="39"/>
        <v>0</v>
      </c>
      <c r="AD168" t="str">
        <f t="shared" si="40"/>
        <v>No</v>
      </c>
      <c r="AE168" t="str">
        <f t="shared" si="41"/>
        <v>No</v>
      </c>
    </row>
    <row r="169" spans="1:31" x14ac:dyDescent="0.25">
      <c r="A169" s="227"/>
      <c r="B169" s="228"/>
      <c r="C169" s="228"/>
      <c r="D169" s="229"/>
      <c r="E169" s="229"/>
      <c r="F169" s="229"/>
      <c r="G169" s="229"/>
      <c r="H169" s="230"/>
      <c r="I169" s="229"/>
      <c r="J169" s="220"/>
      <c r="K169" s="216"/>
      <c r="L169" s="216"/>
      <c r="M169" s="217"/>
      <c r="N169" s="217"/>
      <c r="O169" s="217"/>
      <c r="P169" s="213" t="str">
        <f t="shared" si="28"/>
        <v>No</v>
      </c>
      <c r="Q169" s="148" t="str">
        <f t="shared" si="29"/>
        <v>No</v>
      </c>
      <c r="R169" t="e">
        <f>VLOOKUP(F169, Property!A:B, 2,0)</f>
        <v>#N/A</v>
      </c>
      <c r="T169">
        <f t="shared" si="30"/>
        <v>0</v>
      </c>
      <c r="U169">
        <f t="shared" si="31"/>
        <v>0</v>
      </c>
      <c r="V169">
        <f t="shared" si="32"/>
        <v>0</v>
      </c>
      <c r="W169">
        <f t="shared" si="33"/>
        <v>0</v>
      </c>
      <c r="X169">
        <f t="shared" si="34"/>
        <v>0</v>
      </c>
      <c r="Y169">
        <f t="shared" si="35"/>
        <v>0</v>
      </c>
      <c r="Z169" s="150" t="str">
        <f t="shared" si="36"/>
        <v>No</v>
      </c>
      <c r="AA169" s="150" t="str">
        <f t="shared" si="37"/>
        <v>No</v>
      </c>
      <c r="AB169">
        <f t="shared" si="38"/>
        <v>0</v>
      </c>
      <c r="AC169">
        <f t="shared" si="39"/>
        <v>0</v>
      </c>
      <c r="AD169" t="str">
        <f t="shared" si="40"/>
        <v>No</v>
      </c>
      <c r="AE169" t="str">
        <f t="shared" si="41"/>
        <v>No</v>
      </c>
    </row>
    <row r="170" spans="1:31" x14ac:dyDescent="0.25">
      <c r="A170" s="227"/>
      <c r="B170" s="228"/>
      <c r="C170" s="228"/>
      <c r="D170" s="229"/>
      <c r="E170" s="229"/>
      <c r="F170" s="229"/>
      <c r="G170" s="229"/>
      <c r="H170" s="229"/>
      <c r="I170" s="229"/>
      <c r="J170" s="220"/>
      <c r="K170" s="216"/>
      <c r="L170" s="216"/>
      <c r="M170" s="217"/>
      <c r="N170" s="217"/>
      <c r="O170" s="217"/>
      <c r="P170" s="213" t="str">
        <f t="shared" si="28"/>
        <v>No</v>
      </c>
      <c r="Q170" s="148" t="str">
        <f t="shared" si="29"/>
        <v>No</v>
      </c>
      <c r="R170" t="e">
        <f>VLOOKUP(F170, Property!A:B, 2,0)</f>
        <v>#N/A</v>
      </c>
      <c r="T170">
        <f t="shared" si="30"/>
        <v>0</v>
      </c>
      <c r="U170">
        <f t="shared" si="31"/>
        <v>0</v>
      </c>
      <c r="V170">
        <f t="shared" si="32"/>
        <v>0</v>
      </c>
      <c r="W170">
        <f t="shared" si="33"/>
        <v>0</v>
      </c>
      <c r="X170">
        <f t="shared" si="34"/>
        <v>0</v>
      </c>
      <c r="Y170">
        <f t="shared" si="35"/>
        <v>0</v>
      </c>
      <c r="Z170" s="150" t="str">
        <f t="shared" si="36"/>
        <v>No</v>
      </c>
      <c r="AA170" s="150" t="str">
        <f t="shared" si="37"/>
        <v>No</v>
      </c>
      <c r="AB170">
        <f t="shared" si="38"/>
        <v>0</v>
      </c>
      <c r="AC170">
        <f t="shared" si="39"/>
        <v>0</v>
      </c>
      <c r="AD170" t="str">
        <f t="shared" si="40"/>
        <v>No</v>
      </c>
      <c r="AE170" t="str">
        <f t="shared" si="41"/>
        <v>No</v>
      </c>
    </row>
    <row r="171" spans="1:31" x14ac:dyDescent="0.25">
      <c r="A171" s="227"/>
      <c r="B171" s="228"/>
      <c r="C171" s="228"/>
      <c r="D171" s="229"/>
      <c r="E171" s="229"/>
      <c r="F171" s="229"/>
      <c r="G171" s="229"/>
      <c r="H171" s="230"/>
      <c r="I171" s="229"/>
      <c r="J171" s="220"/>
      <c r="K171" s="216"/>
      <c r="L171" s="216"/>
      <c r="M171" s="216"/>
      <c r="N171" s="217"/>
      <c r="O171" s="217"/>
      <c r="P171" s="213" t="str">
        <f t="shared" si="28"/>
        <v>No</v>
      </c>
      <c r="Q171" s="148" t="str">
        <f t="shared" si="29"/>
        <v>No</v>
      </c>
      <c r="R171" t="e">
        <f>VLOOKUP(F171, Property!A:B, 2,0)</f>
        <v>#N/A</v>
      </c>
      <c r="T171">
        <f t="shared" si="30"/>
        <v>0</v>
      </c>
      <c r="U171">
        <f t="shared" si="31"/>
        <v>0</v>
      </c>
      <c r="V171">
        <f t="shared" si="32"/>
        <v>0</v>
      </c>
      <c r="W171">
        <f t="shared" si="33"/>
        <v>0</v>
      </c>
      <c r="X171">
        <f t="shared" si="34"/>
        <v>0</v>
      </c>
      <c r="Y171">
        <f t="shared" si="35"/>
        <v>0</v>
      </c>
      <c r="Z171" s="150" t="str">
        <f t="shared" si="36"/>
        <v>No</v>
      </c>
      <c r="AA171" s="150" t="str">
        <f t="shared" si="37"/>
        <v>No</v>
      </c>
      <c r="AB171">
        <f t="shared" si="38"/>
        <v>0</v>
      </c>
      <c r="AC171">
        <f t="shared" si="39"/>
        <v>0</v>
      </c>
      <c r="AD171" t="str">
        <f t="shared" si="40"/>
        <v>No</v>
      </c>
      <c r="AE171" t="str">
        <f t="shared" si="41"/>
        <v>No</v>
      </c>
    </row>
    <row r="172" spans="1:31" x14ac:dyDescent="0.25">
      <c r="A172" s="227"/>
      <c r="B172" s="228"/>
      <c r="C172" s="228"/>
      <c r="D172" s="229"/>
      <c r="E172" s="229"/>
      <c r="F172" s="229"/>
      <c r="G172" s="229"/>
      <c r="H172" s="230"/>
      <c r="I172" s="229"/>
      <c r="J172" s="220"/>
      <c r="K172" s="216"/>
      <c r="L172" s="216"/>
      <c r="M172" s="216"/>
      <c r="N172" s="217"/>
      <c r="O172" s="217"/>
      <c r="P172" s="213" t="str">
        <f t="shared" si="28"/>
        <v>No</v>
      </c>
      <c r="Q172" s="148" t="str">
        <f t="shared" si="29"/>
        <v>No</v>
      </c>
      <c r="R172" t="e">
        <f>VLOOKUP(F172, Property!A:B, 2,0)</f>
        <v>#N/A</v>
      </c>
      <c r="T172">
        <f t="shared" si="30"/>
        <v>0</v>
      </c>
      <c r="U172">
        <f t="shared" si="31"/>
        <v>0</v>
      </c>
      <c r="V172">
        <f t="shared" si="32"/>
        <v>0</v>
      </c>
      <c r="W172">
        <f t="shared" si="33"/>
        <v>0</v>
      </c>
      <c r="X172">
        <f t="shared" si="34"/>
        <v>0</v>
      </c>
      <c r="Y172">
        <f t="shared" si="35"/>
        <v>0</v>
      </c>
      <c r="Z172" s="150" t="str">
        <f t="shared" si="36"/>
        <v>No</v>
      </c>
      <c r="AA172" s="150" t="str">
        <f t="shared" si="37"/>
        <v>No</v>
      </c>
      <c r="AB172">
        <f t="shared" si="38"/>
        <v>0</v>
      </c>
      <c r="AC172">
        <f t="shared" si="39"/>
        <v>0</v>
      </c>
      <c r="AD172" t="str">
        <f t="shared" si="40"/>
        <v>No</v>
      </c>
      <c r="AE172" t="str">
        <f t="shared" si="41"/>
        <v>No</v>
      </c>
    </row>
    <row r="173" spans="1:31" x14ac:dyDescent="0.25">
      <c r="A173" s="227"/>
      <c r="B173" s="228"/>
      <c r="C173" s="228"/>
      <c r="D173" s="229"/>
      <c r="E173" s="229"/>
      <c r="F173" s="229"/>
      <c r="G173" s="229"/>
      <c r="H173" s="230"/>
      <c r="I173" s="229"/>
      <c r="J173" s="220"/>
      <c r="K173" s="216"/>
      <c r="L173" s="216"/>
      <c r="M173" s="217"/>
      <c r="N173" s="217"/>
      <c r="O173" s="217"/>
      <c r="P173" s="213" t="str">
        <f t="shared" si="28"/>
        <v>No</v>
      </c>
      <c r="Q173" s="148" t="str">
        <f t="shared" si="29"/>
        <v>No</v>
      </c>
      <c r="R173" t="e">
        <f>VLOOKUP(F173, Property!A:B, 2,0)</f>
        <v>#N/A</v>
      </c>
      <c r="T173">
        <f t="shared" si="30"/>
        <v>0</v>
      </c>
      <c r="U173">
        <f t="shared" si="31"/>
        <v>0</v>
      </c>
      <c r="V173">
        <f t="shared" si="32"/>
        <v>0</v>
      </c>
      <c r="W173">
        <f t="shared" si="33"/>
        <v>0</v>
      </c>
      <c r="X173">
        <f t="shared" si="34"/>
        <v>0</v>
      </c>
      <c r="Y173">
        <f t="shared" si="35"/>
        <v>0</v>
      </c>
      <c r="Z173" s="150" t="str">
        <f t="shared" si="36"/>
        <v>No</v>
      </c>
      <c r="AA173" s="150" t="str">
        <f t="shared" si="37"/>
        <v>No</v>
      </c>
      <c r="AB173">
        <f t="shared" si="38"/>
        <v>0</v>
      </c>
      <c r="AC173">
        <f t="shared" si="39"/>
        <v>0</v>
      </c>
      <c r="AD173" t="str">
        <f t="shared" si="40"/>
        <v>No</v>
      </c>
      <c r="AE173" t="str">
        <f t="shared" si="41"/>
        <v>No</v>
      </c>
    </row>
    <row r="174" spans="1:31" x14ac:dyDescent="0.25">
      <c r="A174" s="227"/>
      <c r="B174" s="228"/>
      <c r="C174" s="228"/>
      <c r="D174" s="229"/>
      <c r="E174" s="229"/>
      <c r="F174" s="229"/>
      <c r="G174" s="229"/>
      <c r="H174" s="230"/>
      <c r="I174" s="229"/>
      <c r="J174" s="220"/>
      <c r="K174" s="216"/>
      <c r="L174" s="216"/>
      <c r="M174" s="217"/>
      <c r="N174" s="217"/>
      <c r="O174" s="217"/>
      <c r="P174" s="213" t="str">
        <f t="shared" si="28"/>
        <v>No</v>
      </c>
      <c r="Q174" s="148" t="str">
        <f t="shared" si="29"/>
        <v>No</v>
      </c>
      <c r="R174" t="e">
        <f>VLOOKUP(F174, Property!A:B, 2,0)</f>
        <v>#N/A</v>
      </c>
      <c r="T174">
        <f t="shared" si="30"/>
        <v>0</v>
      </c>
      <c r="U174">
        <f t="shared" si="31"/>
        <v>0</v>
      </c>
      <c r="V174">
        <f t="shared" si="32"/>
        <v>0</v>
      </c>
      <c r="W174">
        <f t="shared" si="33"/>
        <v>0</v>
      </c>
      <c r="X174">
        <f t="shared" si="34"/>
        <v>0</v>
      </c>
      <c r="Y174">
        <f t="shared" si="35"/>
        <v>0</v>
      </c>
      <c r="Z174" s="150" t="str">
        <f t="shared" si="36"/>
        <v>No</v>
      </c>
      <c r="AA174" s="150" t="str">
        <f t="shared" si="37"/>
        <v>No</v>
      </c>
      <c r="AB174">
        <f t="shared" si="38"/>
        <v>0</v>
      </c>
      <c r="AC174">
        <f t="shared" si="39"/>
        <v>0</v>
      </c>
      <c r="AD174" t="str">
        <f t="shared" si="40"/>
        <v>No</v>
      </c>
      <c r="AE174" t="str">
        <f t="shared" si="41"/>
        <v>No</v>
      </c>
    </row>
    <row r="175" spans="1:31" x14ac:dyDescent="0.25">
      <c r="A175" s="227"/>
      <c r="B175" s="228"/>
      <c r="C175" s="228"/>
      <c r="D175" s="229"/>
      <c r="E175" s="229"/>
      <c r="F175" s="229"/>
      <c r="G175" s="229"/>
      <c r="H175" s="230"/>
      <c r="I175" s="229"/>
      <c r="J175" s="220"/>
      <c r="K175" s="216"/>
      <c r="L175" s="216"/>
      <c r="M175" s="217"/>
      <c r="N175" s="217"/>
      <c r="O175" s="217"/>
      <c r="P175" s="213" t="str">
        <f t="shared" si="28"/>
        <v>No</v>
      </c>
      <c r="Q175" s="148" t="str">
        <f t="shared" si="29"/>
        <v>No</v>
      </c>
      <c r="R175" t="e">
        <f>VLOOKUP(F175, Property!A:B, 2,0)</f>
        <v>#N/A</v>
      </c>
      <c r="T175">
        <f t="shared" si="30"/>
        <v>0</v>
      </c>
      <c r="U175">
        <f t="shared" si="31"/>
        <v>0</v>
      </c>
      <c r="V175">
        <f t="shared" si="32"/>
        <v>0</v>
      </c>
      <c r="W175">
        <f t="shared" si="33"/>
        <v>0</v>
      </c>
      <c r="X175">
        <f t="shared" si="34"/>
        <v>0</v>
      </c>
      <c r="Y175">
        <f t="shared" si="35"/>
        <v>0</v>
      </c>
      <c r="Z175" s="150" t="str">
        <f t="shared" si="36"/>
        <v>No</v>
      </c>
      <c r="AA175" s="150" t="str">
        <f t="shared" si="37"/>
        <v>No</v>
      </c>
      <c r="AB175">
        <f t="shared" si="38"/>
        <v>0</v>
      </c>
      <c r="AC175">
        <f t="shared" si="39"/>
        <v>0</v>
      </c>
      <c r="AD175" t="str">
        <f t="shared" si="40"/>
        <v>No</v>
      </c>
      <c r="AE175" t="str">
        <f t="shared" si="41"/>
        <v>No</v>
      </c>
    </row>
    <row r="176" spans="1:31" x14ac:dyDescent="0.25">
      <c r="A176" s="227"/>
      <c r="B176" s="228"/>
      <c r="C176" s="228"/>
      <c r="D176" s="229"/>
      <c r="E176" s="229"/>
      <c r="F176" s="229"/>
      <c r="G176" s="229"/>
      <c r="H176" s="230"/>
      <c r="I176" s="229"/>
      <c r="J176" s="220"/>
      <c r="K176" s="216"/>
      <c r="L176" s="216"/>
      <c r="M176" s="217"/>
      <c r="N176" s="217"/>
      <c r="O176" s="217"/>
      <c r="P176" s="213" t="str">
        <f t="shared" si="28"/>
        <v>No</v>
      </c>
      <c r="Q176" s="148" t="str">
        <f t="shared" si="29"/>
        <v>No</v>
      </c>
      <c r="R176" t="e">
        <f>VLOOKUP(F176, Property!A:B, 2,0)</f>
        <v>#N/A</v>
      </c>
      <c r="T176">
        <f t="shared" si="30"/>
        <v>0</v>
      </c>
      <c r="U176">
        <f t="shared" si="31"/>
        <v>0</v>
      </c>
      <c r="V176">
        <f t="shared" si="32"/>
        <v>0</v>
      </c>
      <c r="W176">
        <f t="shared" si="33"/>
        <v>0</v>
      </c>
      <c r="X176">
        <f t="shared" si="34"/>
        <v>0</v>
      </c>
      <c r="Y176">
        <f t="shared" si="35"/>
        <v>0</v>
      </c>
      <c r="Z176" s="150" t="str">
        <f t="shared" si="36"/>
        <v>No</v>
      </c>
      <c r="AA176" s="150" t="str">
        <f t="shared" si="37"/>
        <v>No</v>
      </c>
      <c r="AB176">
        <f t="shared" si="38"/>
        <v>0</v>
      </c>
      <c r="AC176">
        <f t="shared" si="39"/>
        <v>0</v>
      </c>
      <c r="AD176" t="str">
        <f t="shared" si="40"/>
        <v>No</v>
      </c>
      <c r="AE176" t="str">
        <f t="shared" si="41"/>
        <v>No</v>
      </c>
    </row>
    <row r="177" spans="1:31" x14ac:dyDescent="0.25">
      <c r="A177" s="227"/>
      <c r="B177" s="228"/>
      <c r="C177" s="228"/>
      <c r="D177" s="229"/>
      <c r="E177" s="229"/>
      <c r="F177" s="229"/>
      <c r="G177" s="229"/>
      <c r="H177" s="230"/>
      <c r="I177" s="229"/>
      <c r="J177" s="220"/>
      <c r="K177" s="216"/>
      <c r="L177" s="216"/>
      <c r="M177" s="217"/>
      <c r="N177" s="217"/>
      <c r="O177" s="217"/>
      <c r="P177" s="213" t="str">
        <f t="shared" si="28"/>
        <v>No</v>
      </c>
      <c r="Q177" s="148" t="str">
        <f t="shared" si="29"/>
        <v>No</v>
      </c>
      <c r="R177" t="e">
        <f>VLOOKUP(F177, Property!A:B, 2,0)</f>
        <v>#N/A</v>
      </c>
      <c r="T177">
        <f t="shared" si="30"/>
        <v>0</v>
      </c>
      <c r="U177">
        <f t="shared" si="31"/>
        <v>0</v>
      </c>
      <c r="V177">
        <f t="shared" si="32"/>
        <v>0</v>
      </c>
      <c r="W177">
        <f t="shared" si="33"/>
        <v>0</v>
      </c>
      <c r="X177">
        <f t="shared" si="34"/>
        <v>0</v>
      </c>
      <c r="Y177">
        <f t="shared" si="35"/>
        <v>0</v>
      </c>
      <c r="Z177" s="150" t="str">
        <f t="shared" si="36"/>
        <v>No</v>
      </c>
      <c r="AA177" s="150" t="str">
        <f t="shared" si="37"/>
        <v>No</v>
      </c>
      <c r="AB177">
        <f t="shared" si="38"/>
        <v>0</v>
      </c>
      <c r="AC177">
        <f t="shared" si="39"/>
        <v>0</v>
      </c>
      <c r="AD177" t="str">
        <f t="shared" si="40"/>
        <v>No</v>
      </c>
      <c r="AE177" t="str">
        <f t="shared" si="41"/>
        <v>No</v>
      </c>
    </row>
    <row r="178" spans="1:31" x14ac:dyDescent="0.25">
      <c r="A178" s="227"/>
      <c r="B178" s="228"/>
      <c r="C178" s="228"/>
      <c r="D178" s="229"/>
      <c r="E178" s="229"/>
      <c r="F178" s="229"/>
      <c r="G178" s="229"/>
      <c r="H178" s="230"/>
      <c r="I178" s="229"/>
      <c r="J178" s="220"/>
      <c r="K178" s="216"/>
      <c r="L178" s="216"/>
      <c r="M178" s="217"/>
      <c r="N178" s="217"/>
      <c r="O178" s="217"/>
      <c r="P178" s="213" t="str">
        <f t="shared" si="28"/>
        <v>No</v>
      </c>
      <c r="Q178" s="148" t="str">
        <f t="shared" si="29"/>
        <v>No</v>
      </c>
      <c r="R178" t="e">
        <f>VLOOKUP(F178, Property!A:B, 2,0)</f>
        <v>#N/A</v>
      </c>
      <c r="T178">
        <f t="shared" si="30"/>
        <v>0</v>
      </c>
      <c r="U178">
        <f t="shared" si="31"/>
        <v>0</v>
      </c>
      <c r="V178">
        <f t="shared" si="32"/>
        <v>0</v>
      </c>
      <c r="W178">
        <f t="shared" si="33"/>
        <v>0</v>
      </c>
      <c r="X178">
        <f t="shared" si="34"/>
        <v>0</v>
      </c>
      <c r="Y178">
        <f t="shared" si="35"/>
        <v>0</v>
      </c>
      <c r="Z178" s="150" t="str">
        <f t="shared" si="36"/>
        <v>No</v>
      </c>
      <c r="AA178" s="150" t="str">
        <f t="shared" si="37"/>
        <v>No</v>
      </c>
      <c r="AB178">
        <f t="shared" si="38"/>
        <v>0</v>
      </c>
      <c r="AC178">
        <f t="shared" si="39"/>
        <v>0</v>
      </c>
      <c r="AD178" t="str">
        <f t="shared" si="40"/>
        <v>No</v>
      </c>
      <c r="AE178" t="str">
        <f t="shared" si="41"/>
        <v>No</v>
      </c>
    </row>
    <row r="179" spans="1:31" x14ac:dyDescent="0.25">
      <c r="A179" s="227"/>
      <c r="B179" s="228"/>
      <c r="C179" s="228"/>
      <c r="D179" s="229"/>
      <c r="E179" s="229"/>
      <c r="F179" s="229"/>
      <c r="G179" s="229"/>
      <c r="H179" s="230"/>
      <c r="I179" s="229"/>
      <c r="J179" s="220"/>
      <c r="K179" s="216"/>
      <c r="L179" s="216"/>
      <c r="M179" s="217"/>
      <c r="N179" s="217"/>
      <c r="O179" s="217"/>
      <c r="P179" s="213" t="str">
        <f t="shared" si="28"/>
        <v>No</v>
      </c>
      <c r="Q179" s="148" t="str">
        <f t="shared" si="29"/>
        <v>No</v>
      </c>
      <c r="R179" t="e">
        <f>VLOOKUP(F179, Property!A:B, 2,0)</f>
        <v>#N/A</v>
      </c>
      <c r="T179">
        <f t="shared" si="30"/>
        <v>0</v>
      </c>
      <c r="U179">
        <f t="shared" si="31"/>
        <v>0</v>
      </c>
      <c r="V179">
        <f t="shared" si="32"/>
        <v>0</v>
      </c>
      <c r="W179">
        <f t="shared" si="33"/>
        <v>0</v>
      </c>
      <c r="X179">
        <f t="shared" si="34"/>
        <v>0</v>
      </c>
      <c r="Y179">
        <f t="shared" si="35"/>
        <v>0</v>
      </c>
      <c r="Z179" s="150" t="str">
        <f t="shared" si="36"/>
        <v>No</v>
      </c>
      <c r="AA179" s="150" t="str">
        <f t="shared" si="37"/>
        <v>No</v>
      </c>
      <c r="AB179">
        <f t="shared" si="38"/>
        <v>0</v>
      </c>
      <c r="AC179">
        <f t="shared" si="39"/>
        <v>0</v>
      </c>
      <c r="AD179" t="str">
        <f t="shared" si="40"/>
        <v>No</v>
      </c>
      <c r="AE179" t="str">
        <f t="shared" si="41"/>
        <v>No</v>
      </c>
    </row>
    <row r="180" spans="1:31" x14ac:dyDescent="0.25">
      <c r="A180" s="227"/>
      <c r="B180" s="228"/>
      <c r="C180" s="228"/>
      <c r="D180" s="229"/>
      <c r="E180" s="229"/>
      <c r="F180" s="229"/>
      <c r="G180" s="229"/>
      <c r="H180" s="230"/>
      <c r="I180" s="229"/>
      <c r="J180" s="220"/>
      <c r="K180" s="216"/>
      <c r="L180" s="216"/>
      <c r="M180" s="217"/>
      <c r="N180" s="217"/>
      <c r="O180" s="217"/>
      <c r="P180" s="213" t="str">
        <f t="shared" si="28"/>
        <v>No</v>
      </c>
      <c r="Q180" s="148" t="str">
        <f t="shared" si="29"/>
        <v>No</v>
      </c>
      <c r="R180" t="e">
        <f>VLOOKUP(F180, Property!A:B, 2,0)</f>
        <v>#N/A</v>
      </c>
      <c r="T180">
        <f t="shared" si="30"/>
        <v>0</v>
      </c>
      <c r="U180">
        <f t="shared" si="31"/>
        <v>0</v>
      </c>
      <c r="V180">
        <f t="shared" si="32"/>
        <v>0</v>
      </c>
      <c r="W180">
        <f t="shared" si="33"/>
        <v>0</v>
      </c>
      <c r="X180">
        <f t="shared" si="34"/>
        <v>0</v>
      </c>
      <c r="Y180">
        <f t="shared" si="35"/>
        <v>0</v>
      </c>
      <c r="Z180" s="150" t="str">
        <f t="shared" si="36"/>
        <v>No</v>
      </c>
      <c r="AA180" s="150" t="str">
        <f t="shared" si="37"/>
        <v>No</v>
      </c>
      <c r="AB180">
        <f t="shared" si="38"/>
        <v>0</v>
      </c>
      <c r="AC180">
        <f t="shared" si="39"/>
        <v>0</v>
      </c>
      <c r="AD180" t="str">
        <f t="shared" si="40"/>
        <v>No</v>
      </c>
      <c r="AE180" t="str">
        <f t="shared" si="41"/>
        <v>No</v>
      </c>
    </row>
    <row r="181" spans="1:31" x14ac:dyDescent="0.25">
      <c r="A181" s="227"/>
      <c r="B181" s="228"/>
      <c r="C181" s="228"/>
      <c r="D181" s="229"/>
      <c r="E181" s="229"/>
      <c r="F181" s="229"/>
      <c r="G181" s="229"/>
      <c r="H181" s="230"/>
      <c r="I181" s="229"/>
      <c r="J181" s="220"/>
      <c r="K181" s="216"/>
      <c r="L181" s="216"/>
      <c r="M181" s="217"/>
      <c r="N181" s="217"/>
      <c r="O181" s="217"/>
      <c r="P181" s="213" t="str">
        <f t="shared" si="28"/>
        <v>No</v>
      </c>
      <c r="Q181" s="148" t="str">
        <f t="shared" si="29"/>
        <v>No</v>
      </c>
      <c r="R181" t="e">
        <f>VLOOKUP(F181, Property!A:B, 2,0)</f>
        <v>#N/A</v>
      </c>
      <c r="T181">
        <f t="shared" si="30"/>
        <v>0</v>
      </c>
      <c r="U181">
        <f t="shared" si="31"/>
        <v>0</v>
      </c>
      <c r="V181">
        <f t="shared" si="32"/>
        <v>0</v>
      </c>
      <c r="W181">
        <f t="shared" si="33"/>
        <v>0</v>
      </c>
      <c r="X181">
        <f t="shared" si="34"/>
        <v>0</v>
      </c>
      <c r="Y181">
        <f t="shared" si="35"/>
        <v>0</v>
      </c>
      <c r="Z181" s="150" t="str">
        <f t="shared" si="36"/>
        <v>No</v>
      </c>
      <c r="AA181" s="150" t="str">
        <f t="shared" si="37"/>
        <v>No</v>
      </c>
      <c r="AB181">
        <f t="shared" si="38"/>
        <v>0</v>
      </c>
      <c r="AC181">
        <f t="shared" si="39"/>
        <v>0</v>
      </c>
      <c r="AD181" t="str">
        <f t="shared" si="40"/>
        <v>No</v>
      </c>
      <c r="AE181" t="str">
        <f t="shared" si="41"/>
        <v>No</v>
      </c>
    </row>
    <row r="182" spans="1:31" x14ac:dyDescent="0.25">
      <c r="A182" s="227"/>
      <c r="B182" s="228"/>
      <c r="C182" s="228"/>
      <c r="D182" s="229"/>
      <c r="E182" s="229"/>
      <c r="F182" s="229"/>
      <c r="G182" s="229"/>
      <c r="H182" s="230"/>
      <c r="I182" s="229"/>
      <c r="J182" s="220"/>
      <c r="K182" s="216"/>
      <c r="L182" s="216"/>
      <c r="M182" s="217"/>
      <c r="N182" s="217"/>
      <c r="O182" s="217"/>
      <c r="P182" s="213" t="str">
        <f t="shared" si="28"/>
        <v>No</v>
      </c>
      <c r="Q182" s="148" t="str">
        <f t="shared" si="29"/>
        <v>No</v>
      </c>
      <c r="R182" t="e">
        <f>VLOOKUP(F182, Property!A:B, 2,0)</f>
        <v>#N/A</v>
      </c>
      <c r="T182">
        <f t="shared" si="30"/>
        <v>0</v>
      </c>
      <c r="U182">
        <f t="shared" si="31"/>
        <v>0</v>
      </c>
      <c r="V182">
        <f t="shared" si="32"/>
        <v>0</v>
      </c>
      <c r="W182">
        <f t="shared" si="33"/>
        <v>0</v>
      </c>
      <c r="X182">
        <f t="shared" si="34"/>
        <v>0</v>
      </c>
      <c r="Y182">
        <f t="shared" si="35"/>
        <v>0</v>
      </c>
      <c r="Z182" s="150" t="str">
        <f t="shared" si="36"/>
        <v>No</v>
      </c>
      <c r="AA182" s="150" t="str">
        <f t="shared" si="37"/>
        <v>No</v>
      </c>
      <c r="AB182">
        <f t="shared" si="38"/>
        <v>0</v>
      </c>
      <c r="AC182">
        <f t="shared" si="39"/>
        <v>0</v>
      </c>
      <c r="AD182" t="str">
        <f t="shared" si="40"/>
        <v>No</v>
      </c>
      <c r="AE182" t="str">
        <f t="shared" si="41"/>
        <v>No</v>
      </c>
    </row>
    <row r="183" spans="1:31" x14ac:dyDescent="0.25">
      <c r="A183" s="227"/>
      <c r="B183" s="228"/>
      <c r="C183" s="228"/>
      <c r="D183" s="229"/>
      <c r="E183" s="229"/>
      <c r="F183" s="229"/>
      <c r="G183" s="229"/>
      <c r="H183" s="230"/>
      <c r="I183" s="229"/>
      <c r="J183" s="220"/>
      <c r="K183" s="216"/>
      <c r="L183" s="216"/>
      <c r="M183" s="217"/>
      <c r="N183" s="217"/>
      <c r="O183" s="217"/>
      <c r="P183" s="213" t="str">
        <f t="shared" si="28"/>
        <v>No</v>
      </c>
      <c r="Q183" s="148" t="str">
        <f t="shared" si="29"/>
        <v>No</v>
      </c>
      <c r="R183" t="e">
        <f>VLOOKUP(F183, Property!A:B, 2,0)</f>
        <v>#N/A</v>
      </c>
      <c r="T183">
        <f t="shared" si="30"/>
        <v>0</v>
      </c>
      <c r="U183">
        <f t="shared" si="31"/>
        <v>0</v>
      </c>
      <c r="V183">
        <f t="shared" si="32"/>
        <v>0</v>
      </c>
      <c r="W183">
        <f t="shared" si="33"/>
        <v>0</v>
      </c>
      <c r="X183">
        <f t="shared" si="34"/>
        <v>0</v>
      </c>
      <c r="Y183">
        <f t="shared" si="35"/>
        <v>0</v>
      </c>
      <c r="Z183" s="150" t="str">
        <f t="shared" si="36"/>
        <v>No</v>
      </c>
      <c r="AA183" s="150" t="str">
        <f t="shared" si="37"/>
        <v>No</v>
      </c>
      <c r="AB183">
        <f t="shared" si="38"/>
        <v>0</v>
      </c>
      <c r="AC183">
        <f t="shared" si="39"/>
        <v>0</v>
      </c>
      <c r="AD183" t="str">
        <f t="shared" si="40"/>
        <v>No</v>
      </c>
      <c r="AE183" t="str">
        <f t="shared" si="41"/>
        <v>No</v>
      </c>
    </row>
    <row r="184" spans="1:31" x14ac:dyDescent="0.25">
      <c r="A184" s="227"/>
      <c r="B184" s="228"/>
      <c r="C184" s="228"/>
      <c r="D184" s="229"/>
      <c r="E184" s="229"/>
      <c r="F184" s="229"/>
      <c r="G184" s="229"/>
      <c r="H184" s="230"/>
      <c r="I184" s="229"/>
      <c r="J184" s="220"/>
      <c r="K184" s="216"/>
      <c r="L184" s="216"/>
      <c r="M184" s="217"/>
      <c r="N184" s="217"/>
      <c r="O184" s="217"/>
      <c r="P184" s="213" t="str">
        <f t="shared" si="28"/>
        <v>No</v>
      </c>
      <c r="Q184" s="148" t="str">
        <f t="shared" si="29"/>
        <v>No</v>
      </c>
      <c r="R184" t="e">
        <f>VLOOKUP(F184, Property!A:B, 2,0)</f>
        <v>#N/A</v>
      </c>
      <c r="T184">
        <f t="shared" si="30"/>
        <v>0</v>
      </c>
      <c r="U184">
        <f t="shared" si="31"/>
        <v>0</v>
      </c>
      <c r="V184">
        <f t="shared" si="32"/>
        <v>0</v>
      </c>
      <c r="W184">
        <f t="shared" si="33"/>
        <v>0</v>
      </c>
      <c r="X184">
        <f t="shared" si="34"/>
        <v>0</v>
      </c>
      <c r="Y184">
        <f t="shared" si="35"/>
        <v>0</v>
      </c>
      <c r="Z184" s="150" t="str">
        <f t="shared" si="36"/>
        <v>No</v>
      </c>
      <c r="AA184" s="150" t="str">
        <f t="shared" si="37"/>
        <v>No</v>
      </c>
      <c r="AB184">
        <f t="shared" si="38"/>
        <v>0</v>
      </c>
      <c r="AC184">
        <f t="shared" si="39"/>
        <v>0</v>
      </c>
      <c r="AD184" t="str">
        <f t="shared" si="40"/>
        <v>No</v>
      </c>
      <c r="AE184" t="str">
        <f t="shared" si="41"/>
        <v>No</v>
      </c>
    </row>
    <row r="185" spans="1:31" x14ac:dyDescent="0.25">
      <c r="A185" s="227"/>
      <c r="B185" s="228"/>
      <c r="C185" s="228"/>
      <c r="D185" s="229"/>
      <c r="E185" s="229"/>
      <c r="F185" s="229"/>
      <c r="G185" s="229"/>
      <c r="H185" s="230"/>
      <c r="I185" s="229"/>
      <c r="J185" s="220"/>
      <c r="K185" s="216"/>
      <c r="L185" s="216"/>
      <c r="M185" s="217"/>
      <c r="N185" s="217"/>
      <c r="O185" s="217"/>
      <c r="P185" s="213" t="str">
        <f t="shared" si="28"/>
        <v>No</v>
      </c>
      <c r="Q185" s="148" t="str">
        <f t="shared" si="29"/>
        <v>No</v>
      </c>
      <c r="R185" t="e">
        <f>VLOOKUP(F185, Property!A:B, 2,0)</f>
        <v>#N/A</v>
      </c>
      <c r="T185">
        <f t="shared" si="30"/>
        <v>0</v>
      </c>
      <c r="U185">
        <f t="shared" si="31"/>
        <v>0</v>
      </c>
      <c r="V185">
        <f t="shared" si="32"/>
        <v>0</v>
      </c>
      <c r="W185">
        <f t="shared" si="33"/>
        <v>0</v>
      </c>
      <c r="X185">
        <f t="shared" si="34"/>
        <v>0</v>
      </c>
      <c r="Y185">
        <f t="shared" si="35"/>
        <v>0</v>
      </c>
      <c r="Z185" s="150" t="str">
        <f t="shared" si="36"/>
        <v>No</v>
      </c>
      <c r="AA185" s="150" t="str">
        <f t="shared" si="37"/>
        <v>No</v>
      </c>
      <c r="AB185">
        <f t="shared" si="38"/>
        <v>0</v>
      </c>
      <c r="AC185">
        <f t="shared" si="39"/>
        <v>0</v>
      </c>
      <c r="AD185" t="str">
        <f t="shared" si="40"/>
        <v>No</v>
      </c>
      <c r="AE185" t="str">
        <f t="shared" si="41"/>
        <v>No</v>
      </c>
    </row>
    <row r="186" spans="1:31" x14ac:dyDescent="0.25">
      <c r="A186" s="227"/>
      <c r="B186" s="228"/>
      <c r="C186" s="228"/>
      <c r="D186" s="229"/>
      <c r="E186" s="229"/>
      <c r="F186" s="229"/>
      <c r="G186" s="229"/>
      <c r="H186" s="230"/>
      <c r="I186" s="229"/>
      <c r="J186" s="220"/>
      <c r="K186" s="216"/>
      <c r="L186" s="216"/>
      <c r="M186" s="217"/>
      <c r="N186" s="217"/>
      <c r="O186" s="217"/>
      <c r="P186" s="213" t="str">
        <f t="shared" si="28"/>
        <v>No</v>
      </c>
      <c r="Q186" s="148" t="str">
        <f t="shared" si="29"/>
        <v>No</v>
      </c>
      <c r="R186" t="e">
        <f>VLOOKUP(F186, Property!A:B, 2,0)</f>
        <v>#N/A</v>
      </c>
      <c r="T186">
        <f t="shared" si="30"/>
        <v>0</v>
      </c>
      <c r="U186">
        <f t="shared" si="31"/>
        <v>0</v>
      </c>
      <c r="V186">
        <f t="shared" si="32"/>
        <v>0</v>
      </c>
      <c r="W186">
        <f t="shared" si="33"/>
        <v>0</v>
      </c>
      <c r="X186">
        <f t="shared" si="34"/>
        <v>0</v>
      </c>
      <c r="Y186">
        <f t="shared" si="35"/>
        <v>0</v>
      </c>
      <c r="Z186" s="150" t="str">
        <f t="shared" si="36"/>
        <v>No</v>
      </c>
      <c r="AA186" s="150" t="str">
        <f t="shared" si="37"/>
        <v>No</v>
      </c>
      <c r="AB186">
        <f t="shared" si="38"/>
        <v>0</v>
      </c>
      <c r="AC186">
        <f t="shared" si="39"/>
        <v>0</v>
      </c>
      <c r="AD186" t="str">
        <f t="shared" si="40"/>
        <v>No</v>
      </c>
      <c r="AE186" t="str">
        <f t="shared" si="41"/>
        <v>No</v>
      </c>
    </row>
    <row r="187" spans="1:31" x14ac:dyDescent="0.25">
      <c r="A187" s="227"/>
      <c r="B187" s="228"/>
      <c r="C187" s="228"/>
      <c r="D187" s="229"/>
      <c r="E187" s="229"/>
      <c r="F187" s="229"/>
      <c r="G187" s="229"/>
      <c r="H187" s="230"/>
      <c r="I187" s="229"/>
      <c r="J187" s="220"/>
      <c r="K187" s="216"/>
      <c r="L187" s="216"/>
      <c r="M187" s="217"/>
      <c r="N187" s="217"/>
      <c r="O187" s="217"/>
      <c r="P187" s="213" t="str">
        <f t="shared" si="28"/>
        <v>No</v>
      </c>
      <c r="Q187" s="148" t="str">
        <f t="shared" si="29"/>
        <v>No</v>
      </c>
      <c r="R187" t="e">
        <f>VLOOKUP(F187, Property!A:B, 2,0)</f>
        <v>#N/A</v>
      </c>
      <c r="T187">
        <f t="shared" si="30"/>
        <v>0</v>
      </c>
      <c r="U187">
        <f t="shared" si="31"/>
        <v>0</v>
      </c>
      <c r="V187">
        <f t="shared" si="32"/>
        <v>0</v>
      </c>
      <c r="W187">
        <f t="shared" si="33"/>
        <v>0</v>
      </c>
      <c r="X187">
        <f t="shared" si="34"/>
        <v>0</v>
      </c>
      <c r="Y187">
        <f t="shared" si="35"/>
        <v>0</v>
      </c>
      <c r="Z187" s="150" t="str">
        <f t="shared" si="36"/>
        <v>No</v>
      </c>
      <c r="AA187" s="150" t="str">
        <f t="shared" si="37"/>
        <v>No</v>
      </c>
      <c r="AB187">
        <f t="shared" si="38"/>
        <v>0</v>
      </c>
      <c r="AC187">
        <f t="shared" si="39"/>
        <v>0</v>
      </c>
      <c r="AD187" t="str">
        <f t="shared" si="40"/>
        <v>No</v>
      </c>
      <c r="AE187" t="str">
        <f t="shared" si="41"/>
        <v>No</v>
      </c>
    </row>
    <row r="188" spans="1:31" x14ac:dyDescent="0.25">
      <c r="A188" s="227"/>
      <c r="B188" s="228"/>
      <c r="C188" s="228"/>
      <c r="D188" s="229"/>
      <c r="E188" s="229"/>
      <c r="F188" s="229"/>
      <c r="G188" s="229"/>
      <c r="H188" s="230"/>
      <c r="I188" s="229"/>
      <c r="J188" s="220"/>
      <c r="K188" s="216"/>
      <c r="L188" s="216"/>
      <c r="M188" s="217"/>
      <c r="N188" s="217"/>
      <c r="O188" s="217"/>
      <c r="P188" s="213" t="str">
        <f t="shared" si="28"/>
        <v>No</v>
      </c>
      <c r="Q188" s="148" t="str">
        <f t="shared" si="29"/>
        <v>No</v>
      </c>
      <c r="R188" t="e">
        <f>VLOOKUP(F188, Property!A:B, 2,0)</f>
        <v>#N/A</v>
      </c>
      <c r="T188">
        <f t="shared" si="30"/>
        <v>0</v>
      </c>
      <c r="U188">
        <f t="shared" si="31"/>
        <v>0</v>
      </c>
      <c r="V188">
        <f t="shared" si="32"/>
        <v>0</v>
      </c>
      <c r="W188">
        <f t="shared" si="33"/>
        <v>0</v>
      </c>
      <c r="X188">
        <f t="shared" si="34"/>
        <v>0</v>
      </c>
      <c r="Y188">
        <f t="shared" si="35"/>
        <v>0</v>
      </c>
      <c r="Z188" s="150" t="str">
        <f t="shared" si="36"/>
        <v>No</v>
      </c>
      <c r="AA188" s="150" t="str">
        <f t="shared" si="37"/>
        <v>No</v>
      </c>
      <c r="AB188">
        <f t="shared" si="38"/>
        <v>0</v>
      </c>
      <c r="AC188">
        <f t="shared" si="39"/>
        <v>0</v>
      </c>
      <c r="AD188" t="str">
        <f t="shared" si="40"/>
        <v>No</v>
      </c>
      <c r="AE188" t="str">
        <f t="shared" si="41"/>
        <v>No</v>
      </c>
    </row>
    <row r="189" spans="1:31" x14ac:dyDescent="0.25">
      <c r="A189" s="227"/>
      <c r="B189" s="228"/>
      <c r="C189" s="228"/>
      <c r="D189" s="229"/>
      <c r="E189" s="229"/>
      <c r="F189" s="229"/>
      <c r="G189" s="229"/>
      <c r="H189" s="230"/>
      <c r="I189" s="229"/>
      <c r="J189" s="220"/>
      <c r="K189" s="216"/>
      <c r="L189" s="216"/>
      <c r="M189" s="217"/>
      <c r="N189" s="217"/>
      <c r="O189" s="217"/>
      <c r="P189" s="213" t="str">
        <f t="shared" si="28"/>
        <v>No</v>
      </c>
      <c r="Q189" s="148" t="str">
        <f t="shared" si="29"/>
        <v>No</v>
      </c>
      <c r="R189" t="e">
        <f>VLOOKUP(F189, Property!A:B, 2,0)</f>
        <v>#N/A</v>
      </c>
      <c r="T189">
        <f t="shared" si="30"/>
        <v>0</v>
      </c>
      <c r="U189">
        <f t="shared" si="31"/>
        <v>0</v>
      </c>
      <c r="V189">
        <f t="shared" si="32"/>
        <v>0</v>
      </c>
      <c r="W189">
        <f t="shared" si="33"/>
        <v>0</v>
      </c>
      <c r="X189">
        <f t="shared" si="34"/>
        <v>0</v>
      </c>
      <c r="Y189">
        <f t="shared" si="35"/>
        <v>0</v>
      </c>
      <c r="Z189" s="150" t="str">
        <f t="shared" si="36"/>
        <v>No</v>
      </c>
      <c r="AA189" s="150" t="str">
        <f t="shared" si="37"/>
        <v>No</v>
      </c>
      <c r="AB189">
        <f t="shared" si="38"/>
        <v>0</v>
      </c>
      <c r="AC189">
        <f t="shared" si="39"/>
        <v>0</v>
      </c>
      <c r="AD189" t="str">
        <f t="shared" si="40"/>
        <v>No</v>
      </c>
      <c r="AE189" t="str">
        <f t="shared" si="41"/>
        <v>No</v>
      </c>
    </row>
    <row r="190" spans="1:31" x14ac:dyDescent="0.25">
      <c r="A190" s="227"/>
      <c r="B190" s="228"/>
      <c r="C190" s="228"/>
      <c r="D190" s="229"/>
      <c r="E190" s="229"/>
      <c r="F190" s="229"/>
      <c r="G190" s="229"/>
      <c r="H190" s="230"/>
      <c r="I190" s="229"/>
      <c r="J190" s="220"/>
      <c r="K190" s="216"/>
      <c r="L190" s="216"/>
      <c r="M190" s="217"/>
      <c r="N190" s="217"/>
      <c r="O190" s="217"/>
      <c r="P190" s="213" t="str">
        <f t="shared" si="28"/>
        <v>No</v>
      </c>
      <c r="Q190" s="148" t="str">
        <f t="shared" si="29"/>
        <v>No</v>
      </c>
      <c r="R190" t="e">
        <f>VLOOKUP(F190, Property!A:B, 2,0)</f>
        <v>#N/A</v>
      </c>
      <c r="T190">
        <f t="shared" si="30"/>
        <v>0</v>
      </c>
      <c r="U190">
        <f t="shared" si="31"/>
        <v>0</v>
      </c>
      <c r="V190">
        <f t="shared" si="32"/>
        <v>0</v>
      </c>
      <c r="W190">
        <f t="shared" si="33"/>
        <v>0</v>
      </c>
      <c r="X190">
        <f t="shared" si="34"/>
        <v>0</v>
      </c>
      <c r="Y190">
        <f t="shared" si="35"/>
        <v>0</v>
      </c>
      <c r="Z190" s="150" t="str">
        <f t="shared" si="36"/>
        <v>No</v>
      </c>
      <c r="AA190" s="150" t="str">
        <f t="shared" si="37"/>
        <v>No</v>
      </c>
      <c r="AB190">
        <f t="shared" si="38"/>
        <v>0</v>
      </c>
      <c r="AC190">
        <f t="shared" si="39"/>
        <v>0</v>
      </c>
      <c r="AD190" t="str">
        <f t="shared" si="40"/>
        <v>No</v>
      </c>
      <c r="AE190" t="str">
        <f t="shared" si="41"/>
        <v>No</v>
      </c>
    </row>
    <row r="191" spans="1:31" x14ac:dyDescent="0.25">
      <c r="A191" s="227"/>
      <c r="B191" s="228"/>
      <c r="C191" s="228"/>
      <c r="D191" s="229"/>
      <c r="E191" s="229"/>
      <c r="F191" s="229"/>
      <c r="G191" s="229"/>
      <c r="H191" s="230"/>
      <c r="I191" s="229"/>
      <c r="J191" s="220"/>
      <c r="K191" s="216"/>
      <c r="L191" s="216"/>
      <c r="M191" s="217"/>
      <c r="N191" s="217"/>
      <c r="O191" s="217"/>
      <c r="P191" s="213" t="str">
        <f t="shared" si="28"/>
        <v>No</v>
      </c>
      <c r="Q191" s="148" t="str">
        <f t="shared" si="29"/>
        <v>No</v>
      </c>
      <c r="R191" t="e">
        <f>VLOOKUP(F191, Property!A:B, 2,0)</f>
        <v>#N/A</v>
      </c>
      <c r="T191">
        <f t="shared" si="30"/>
        <v>0</v>
      </c>
      <c r="U191">
        <f t="shared" si="31"/>
        <v>0</v>
      </c>
      <c r="V191">
        <f t="shared" si="32"/>
        <v>0</v>
      </c>
      <c r="W191">
        <f t="shared" si="33"/>
        <v>0</v>
      </c>
      <c r="X191">
        <f t="shared" si="34"/>
        <v>0</v>
      </c>
      <c r="Y191">
        <f t="shared" si="35"/>
        <v>0</v>
      </c>
      <c r="Z191" s="150" t="str">
        <f t="shared" si="36"/>
        <v>No</v>
      </c>
      <c r="AA191" s="150" t="str">
        <f t="shared" si="37"/>
        <v>No</v>
      </c>
      <c r="AB191">
        <f t="shared" si="38"/>
        <v>0</v>
      </c>
      <c r="AC191">
        <f t="shared" si="39"/>
        <v>0</v>
      </c>
      <c r="AD191" t="str">
        <f t="shared" si="40"/>
        <v>No</v>
      </c>
      <c r="AE191" t="str">
        <f t="shared" si="41"/>
        <v>No</v>
      </c>
    </row>
    <row r="192" spans="1:31" x14ac:dyDescent="0.25">
      <c r="A192" s="227"/>
      <c r="B192" s="228"/>
      <c r="C192" s="228"/>
      <c r="D192" s="229"/>
      <c r="E192" s="229"/>
      <c r="F192" s="229"/>
      <c r="G192" s="229"/>
      <c r="H192" s="230"/>
      <c r="I192" s="229"/>
      <c r="J192" s="220"/>
      <c r="K192" s="216"/>
      <c r="L192" s="216"/>
      <c r="M192" s="217"/>
      <c r="N192" s="217"/>
      <c r="O192" s="217"/>
      <c r="P192" s="213" t="str">
        <f t="shared" si="28"/>
        <v>No</v>
      </c>
      <c r="Q192" s="148" t="str">
        <f t="shared" si="29"/>
        <v>No</v>
      </c>
      <c r="R192" t="e">
        <f>VLOOKUP(F192, Property!A:B, 2,0)</f>
        <v>#N/A</v>
      </c>
      <c r="T192">
        <f t="shared" si="30"/>
        <v>0</v>
      </c>
      <c r="U192">
        <f t="shared" si="31"/>
        <v>0</v>
      </c>
      <c r="V192">
        <f t="shared" si="32"/>
        <v>0</v>
      </c>
      <c r="W192">
        <f t="shared" si="33"/>
        <v>0</v>
      </c>
      <c r="X192">
        <f t="shared" si="34"/>
        <v>0</v>
      </c>
      <c r="Y192">
        <f t="shared" si="35"/>
        <v>0</v>
      </c>
      <c r="Z192" s="150" t="str">
        <f t="shared" si="36"/>
        <v>No</v>
      </c>
      <c r="AA192" s="150" t="str">
        <f t="shared" si="37"/>
        <v>No</v>
      </c>
      <c r="AB192">
        <f t="shared" si="38"/>
        <v>0</v>
      </c>
      <c r="AC192">
        <f t="shared" si="39"/>
        <v>0</v>
      </c>
      <c r="AD192" t="str">
        <f t="shared" si="40"/>
        <v>No</v>
      </c>
      <c r="AE192" t="str">
        <f t="shared" si="41"/>
        <v>No</v>
      </c>
    </row>
    <row r="193" spans="1:31" x14ac:dyDescent="0.25">
      <c r="A193" s="227"/>
      <c r="B193" s="228"/>
      <c r="C193" s="228"/>
      <c r="D193" s="229"/>
      <c r="E193" s="229"/>
      <c r="F193" s="229"/>
      <c r="G193" s="229"/>
      <c r="H193" s="230"/>
      <c r="I193" s="229"/>
      <c r="J193" s="220"/>
      <c r="K193" s="216"/>
      <c r="L193" s="216"/>
      <c r="M193" s="217"/>
      <c r="N193" s="217"/>
      <c r="O193" s="217"/>
      <c r="P193" s="213" t="str">
        <f t="shared" si="28"/>
        <v>No</v>
      </c>
      <c r="Q193" s="148" t="str">
        <f t="shared" si="29"/>
        <v>No</v>
      </c>
      <c r="R193" t="e">
        <f>VLOOKUP(F193, Property!A:B, 2,0)</f>
        <v>#N/A</v>
      </c>
      <c r="T193">
        <f t="shared" si="30"/>
        <v>0</v>
      </c>
      <c r="U193">
        <f t="shared" si="31"/>
        <v>0</v>
      </c>
      <c r="V193">
        <f t="shared" si="32"/>
        <v>0</v>
      </c>
      <c r="W193">
        <f t="shared" si="33"/>
        <v>0</v>
      </c>
      <c r="X193">
        <f t="shared" si="34"/>
        <v>0</v>
      </c>
      <c r="Y193">
        <f t="shared" si="35"/>
        <v>0</v>
      </c>
      <c r="Z193" s="150" t="str">
        <f t="shared" si="36"/>
        <v>No</v>
      </c>
      <c r="AA193" s="150" t="str">
        <f t="shared" si="37"/>
        <v>No</v>
      </c>
      <c r="AB193">
        <f t="shared" si="38"/>
        <v>0</v>
      </c>
      <c r="AC193">
        <f t="shared" si="39"/>
        <v>0</v>
      </c>
      <c r="AD193" t="str">
        <f t="shared" si="40"/>
        <v>No</v>
      </c>
      <c r="AE193" t="str">
        <f t="shared" si="41"/>
        <v>No</v>
      </c>
    </row>
    <row r="194" spans="1:31" x14ac:dyDescent="0.25">
      <c r="A194" s="227"/>
      <c r="B194" s="228"/>
      <c r="C194" s="228"/>
      <c r="D194" s="229"/>
      <c r="E194" s="229"/>
      <c r="F194" s="229"/>
      <c r="G194" s="229"/>
      <c r="H194" s="230"/>
      <c r="I194" s="229"/>
      <c r="J194" s="220"/>
      <c r="K194" s="216"/>
      <c r="L194" s="216"/>
      <c r="M194" s="217"/>
      <c r="N194" s="217"/>
      <c r="O194" s="217"/>
      <c r="P194" s="213" t="str">
        <f t="shared" si="28"/>
        <v>No</v>
      </c>
      <c r="Q194" s="148" t="str">
        <f t="shared" si="29"/>
        <v>No</v>
      </c>
      <c r="R194" t="e">
        <f>VLOOKUP(F194, Property!A:B, 2,0)</f>
        <v>#N/A</v>
      </c>
      <c r="T194">
        <f t="shared" si="30"/>
        <v>0</v>
      </c>
      <c r="U194">
        <f t="shared" si="31"/>
        <v>0</v>
      </c>
      <c r="V194">
        <f t="shared" si="32"/>
        <v>0</v>
      </c>
      <c r="W194">
        <f t="shared" si="33"/>
        <v>0</v>
      </c>
      <c r="X194">
        <f t="shared" si="34"/>
        <v>0</v>
      </c>
      <c r="Y194">
        <f t="shared" si="35"/>
        <v>0</v>
      </c>
      <c r="Z194" s="150" t="str">
        <f t="shared" si="36"/>
        <v>No</v>
      </c>
      <c r="AA194" s="150" t="str">
        <f t="shared" si="37"/>
        <v>No</v>
      </c>
      <c r="AB194">
        <f t="shared" si="38"/>
        <v>0</v>
      </c>
      <c r="AC194">
        <f t="shared" si="39"/>
        <v>0</v>
      </c>
      <c r="AD194" t="str">
        <f t="shared" si="40"/>
        <v>No</v>
      </c>
      <c r="AE194" t="str">
        <f t="shared" si="41"/>
        <v>No</v>
      </c>
    </row>
    <row r="195" spans="1:31" x14ac:dyDescent="0.25">
      <c r="A195" s="227"/>
      <c r="B195" s="228"/>
      <c r="C195" s="228"/>
      <c r="D195" s="229"/>
      <c r="E195" s="229"/>
      <c r="F195" s="229"/>
      <c r="G195" s="229"/>
      <c r="H195" s="230"/>
      <c r="I195" s="229"/>
      <c r="J195" s="220"/>
      <c r="K195" s="216"/>
      <c r="L195" s="216"/>
      <c r="M195" s="217"/>
      <c r="N195" s="217"/>
      <c r="O195" s="217"/>
      <c r="P195" s="213" t="str">
        <f t="shared" ref="P195:P258" si="42">Z195</f>
        <v>No</v>
      </c>
      <c r="Q195" s="148" t="str">
        <f t="shared" ref="Q195:Q258" si="43">AA195</f>
        <v>No</v>
      </c>
      <c r="R195" t="e">
        <f>VLOOKUP(F195, Property!A:B, 2,0)</f>
        <v>#N/A</v>
      </c>
      <c r="T195">
        <f t="shared" ref="T195:T258" si="44">SUM(M195:O195)</f>
        <v>0</v>
      </c>
      <c r="U195">
        <f t="shared" ref="U195:U258" si="45">SUM(J195:L195)</f>
        <v>0</v>
      </c>
      <c r="V195">
        <f t="shared" ref="V195:V258" si="46">IF(AND(J195&gt;0, AC195=0), 1, 0)</f>
        <v>0</v>
      </c>
      <c r="W195">
        <f t="shared" ref="W195:W258" si="47">IF(AND(K195&gt;0, AC195=0), 1, 0)</f>
        <v>0</v>
      </c>
      <c r="X195">
        <f t="shared" ref="X195:X258" si="48">IF(L195&gt;0, 1, 0)</f>
        <v>0</v>
      </c>
      <c r="Y195">
        <f t="shared" ref="Y195:Y258" si="49">SUM(V195:X195)</f>
        <v>0</v>
      </c>
      <c r="Z195" s="150" t="str">
        <f t="shared" ref="Z195:Z258" si="50">IF(AND(Y195&gt;0, AB195=0), "Yes", "No")</f>
        <v>No</v>
      </c>
      <c r="AA195" s="150" t="str">
        <f t="shared" ref="AA195:AA258" si="51">IF(AND(G195&gt;0, AB195=0), "Yes", "No")</f>
        <v>No</v>
      </c>
      <c r="AB195">
        <f t="shared" ref="AB195:AB258" si="52">IF(ISNUMBER(SEARCH("Package",D195)), 1,0)</f>
        <v>0</v>
      </c>
      <c r="AC195">
        <f t="shared" ref="AC195:AC258" si="53">IF(ISNUMBER(SEARCH("Breakfast",D195)), 1,0)</f>
        <v>0</v>
      </c>
      <c r="AD195" t="str">
        <f t="shared" ref="AD195:AD258" si="54">IF(AND(P195="Yes", Z195="No"), "Yes", "No")</f>
        <v>No</v>
      </c>
      <c r="AE195" t="str">
        <f t="shared" ref="AE195:AE258" si="55">IF(AND(Q195="Yes", AA195="No"), "Yes", "No")</f>
        <v>No</v>
      </c>
    </row>
    <row r="196" spans="1:31" x14ac:dyDescent="0.25">
      <c r="A196" s="227"/>
      <c r="B196" s="228"/>
      <c r="C196" s="228"/>
      <c r="D196" s="229"/>
      <c r="E196" s="229"/>
      <c r="F196" s="229"/>
      <c r="G196" s="229"/>
      <c r="H196" s="230"/>
      <c r="I196" s="229"/>
      <c r="J196" s="220"/>
      <c r="K196" s="216"/>
      <c r="L196" s="216"/>
      <c r="M196" s="217"/>
      <c r="N196" s="217"/>
      <c r="O196" s="217"/>
      <c r="P196" s="213" t="str">
        <f t="shared" si="42"/>
        <v>No</v>
      </c>
      <c r="Q196" s="148" t="str">
        <f t="shared" si="43"/>
        <v>No</v>
      </c>
      <c r="R196" t="e">
        <f>VLOOKUP(F196, Property!A:B, 2,0)</f>
        <v>#N/A</v>
      </c>
      <c r="T196">
        <f t="shared" si="44"/>
        <v>0</v>
      </c>
      <c r="U196">
        <f t="shared" si="45"/>
        <v>0</v>
      </c>
      <c r="V196">
        <f t="shared" si="46"/>
        <v>0</v>
      </c>
      <c r="W196">
        <f t="shared" si="47"/>
        <v>0</v>
      </c>
      <c r="X196">
        <f t="shared" si="48"/>
        <v>0</v>
      </c>
      <c r="Y196">
        <f t="shared" si="49"/>
        <v>0</v>
      </c>
      <c r="Z196" s="150" t="str">
        <f t="shared" si="50"/>
        <v>No</v>
      </c>
      <c r="AA196" s="150" t="str">
        <f t="shared" si="51"/>
        <v>No</v>
      </c>
      <c r="AB196">
        <f t="shared" si="52"/>
        <v>0</v>
      </c>
      <c r="AC196">
        <f t="shared" si="53"/>
        <v>0</v>
      </c>
      <c r="AD196" t="str">
        <f t="shared" si="54"/>
        <v>No</v>
      </c>
      <c r="AE196" t="str">
        <f t="shared" si="55"/>
        <v>No</v>
      </c>
    </row>
    <row r="197" spans="1:31" x14ac:dyDescent="0.25">
      <c r="A197" s="227"/>
      <c r="B197" s="228"/>
      <c r="C197" s="228"/>
      <c r="D197" s="229"/>
      <c r="E197" s="229"/>
      <c r="F197" s="229"/>
      <c r="G197" s="229"/>
      <c r="H197" s="230"/>
      <c r="I197" s="229"/>
      <c r="J197" s="220"/>
      <c r="K197" s="216"/>
      <c r="L197" s="216"/>
      <c r="M197" s="217"/>
      <c r="N197" s="217"/>
      <c r="O197" s="217"/>
      <c r="P197" s="213" t="str">
        <f t="shared" si="42"/>
        <v>No</v>
      </c>
      <c r="Q197" s="148" t="str">
        <f t="shared" si="43"/>
        <v>No</v>
      </c>
      <c r="R197" t="e">
        <f>VLOOKUP(F197, Property!A:B, 2,0)</f>
        <v>#N/A</v>
      </c>
      <c r="T197">
        <f t="shared" si="44"/>
        <v>0</v>
      </c>
      <c r="U197">
        <f t="shared" si="45"/>
        <v>0</v>
      </c>
      <c r="V197">
        <f t="shared" si="46"/>
        <v>0</v>
      </c>
      <c r="W197">
        <f t="shared" si="47"/>
        <v>0</v>
      </c>
      <c r="X197">
        <f t="shared" si="48"/>
        <v>0</v>
      </c>
      <c r="Y197">
        <f t="shared" si="49"/>
        <v>0</v>
      </c>
      <c r="Z197" s="150" t="str">
        <f t="shared" si="50"/>
        <v>No</v>
      </c>
      <c r="AA197" s="150" t="str">
        <f t="shared" si="51"/>
        <v>No</v>
      </c>
      <c r="AB197">
        <f t="shared" si="52"/>
        <v>0</v>
      </c>
      <c r="AC197">
        <f t="shared" si="53"/>
        <v>0</v>
      </c>
      <c r="AD197" t="str">
        <f t="shared" si="54"/>
        <v>No</v>
      </c>
      <c r="AE197" t="str">
        <f t="shared" si="55"/>
        <v>No</v>
      </c>
    </row>
    <row r="198" spans="1:31" x14ac:dyDescent="0.25">
      <c r="A198" s="227"/>
      <c r="B198" s="228"/>
      <c r="C198" s="228"/>
      <c r="D198" s="229"/>
      <c r="E198" s="229"/>
      <c r="F198" s="229"/>
      <c r="G198" s="229"/>
      <c r="H198" s="230"/>
      <c r="I198" s="229"/>
      <c r="J198" s="220"/>
      <c r="K198" s="216"/>
      <c r="L198" s="216"/>
      <c r="M198" s="217"/>
      <c r="N198" s="217"/>
      <c r="O198" s="217"/>
      <c r="P198" s="213" t="str">
        <f t="shared" si="42"/>
        <v>No</v>
      </c>
      <c r="Q198" s="148" t="str">
        <f t="shared" si="43"/>
        <v>No</v>
      </c>
      <c r="R198" t="e">
        <f>VLOOKUP(F198, Property!A:B, 2,0)</f>
        <v>#N/A</v>
      </c>
      <c r="T198">
        <f t="shared" si="44"/>
        <v>0</v>
      </c>
      <c r="U198">
        <f t="shared" si="45"/>
        <v>0</v>
      </c>
      <c r="V198">
        <f t="shared" si="46"/>
        <v>0</v>
      </c>
      <c r="W198">
        <f t="shared" si="47"/>
        <v>0</v>
      </c>
      <c r="X198">
        <f t="shared" si="48"/>
        <v>0</v>
      </c>
      <c r="Y198">
        <f t="shared" si="49"/>
        <v>0</v>
      </c>
      <c r="Z198" s="150" t="str">
        <f t="shared" si="50"/>
        <v>No</v>
      </c>
      <c r="AA198" s="150" t="str">
        <f t="shared" si="51"/>
        <v>No</v>
      </c>
      <c r="AB198">
        <f t="shared" si="52"/>
        <v>0</v>
      </c>
      <c r="AC198">
        <f t="shared" si="53"/>
        <v>0</v>
      </c>
      <c r="AD198" t="str">
        <f t="shared" si="54"/>
        <v>No</v>
      </c>
      <c r="AE198" t="str">
        <f t="shared" si="55"/>
        <v>No</v>
      </c>
    </row>
    <row r="199" spans="1:31" x14ac:dyDescent="0.25">
      <c r="A199" s="227"/>
      <c r="B199" s="228"/>
      <c r="C199" s="228"/>
      <c r="D199" s="229"/>
      <c r="E199" s="229"/>
      <c r="F199" s="229"/>
      <c r="G199" s="229"/>
      <c r="H199" s="230"/>
      <c r="I199" s="229"/>
      <c r="J199" s="220"/>
      <c r="K199" s="216"/>
      <c r="L199" s="216"/>
      <c r="M199" s="217"/>
      <c r="N199" s="217"/>
      <c r="O199" s="217"/>
      <c r="P199" s="213" t="str">
        <f t="shared" si="42"/>
        <v>No</v>
      </c>
      <c r="Q199" s="148" t="str">
        <f t="shared" si="43"/>
        <v>No</v>
      </c>
      <c r="R199" t="e">
        <f>VLOOKUP(F199, Property!A:B, 2,0)</f>
        <v>#N/A</v>
      </c>
      <c r="T199">
        <f t="shared" si="44"/>
        <v>0</v>
      </c>
      <c r="U199">
        <f t="shared" si="45"/>
        <v>0</v>
      </c>
      <c r="V199">
        <f t="shared" si="46"/>
        <v>0</v>
      </c>
      <c r="W199">
        <f t="shared" si="47"/>
        <v>0</v>
      </c>
      <c r="X199">
        <f t="shared" si="48"/>
        <v>0</v>
      </c>
      <c r="Y199">
        <f t="shared" si="49"/>
        <v>0</v>
      </c>
      <c r="Z199" s="150" t="str">
        <f t="shared" si="50"/>
        <v>No</v>
      </c>
      <c r="AA199" s="150" t="str">
        <f t="shared" si="51"/>
        <v>No</v>
      </c>
      <c r="AB199">
        <f t="shared" si="52"/>
        <v>0</v>
      </c>
      <c r="AC199">
        <f t="shared" si="53"/>
        <v>0</v>
      </c>
      <c r="AD199" t="str">
        <f t="shared" si="54"/>
        <v>No</v>
      </c>
      <c r="AE199" t="str">
        <f t="shared" si="55"/>
        <v>No</v>
      </c>
    </row>
    <row r="200" spans="1:31" x14ac:dyDescent="0.25">
      <c r="A200" s="227"/>
      <c r="B200" s="228"/>
      <c r="C200" s="228"/>
      <c r="D200" s="229"/>
      <c r="E200" s="229"/>
      <c r="F200" s="229"/>
      <c r="G200" s="229"/>
      <c r="H200" s="230"/>
      <c r="I200" s="229"/>
      <c r="J200" s="220"/>
      <c r="K200" s="216"/>
      <c r="L200" s="216"/>
      <c r="M200" s="216"/>
      <c r="N200" s="217"/>
      <c r="O200" s="217"/>
      <c r="P200" s="213" t="str">
        <f t="shared" si="42"/>
        <v>No</v>
      </c>
      <c r="Q200" s="148" t="str">
        <f t="shared" si="43"/>
        <v>No</v>
      </c>
      <c r="R200" t="e">
        <f>VLOOKUP(F200, Property!A:B, 2,0)</f>
        <v>#N/A</v>
      </c>
      <c r="T200">
        <f t="shared" si="44"/>
        <v>0</v>
      </c>
      <c r="U200">
        <f t="shared" si="45"/>
        <v>0</v>
      </c>
      <c r="V200">
        <f t="shared" si="46"/>
        <v>0</v>
      </c>
      <c r="W200">
        <f t="shared" si="47"/>
        <v>0</v>
      </c>
      <c r="X200">
        <f t="shared" si="48"/>
        <v>0</v>
      </c>
      <c r="Y200">
        <f t="shared" si="49"/>
        <v>0</v>
      </c>
      <c r="Z200" s="150" t="str">
        <f t="shared" si="50"/>
        <v>No</v>
      </c>
      <c r="AA200" s="150" t="str">
        <f t="shared" si="51"/>
        <v>No</v>
      </c>
      <c r="AB200">
        <f t="shared" si="52"/>
        <v>0</v>
      </c>
      <c r="AC200">
        <f t="shared" si="53"/>
        <v>0</v>
      </c>
      <c r="AD200" t="str">
        <f t="shared" si="54"/>
        <v>No</v>
      </c>
      <c r="AE200" t="str">
        <f t="shared" si="55"/>
        <v>No</v>
      </c>
    </row>
    <row r="201" spans="1:31" x14ac:dyDescent="0.25">
      <c r="A201" s="227"/>
      <c r="B201" s="228"/>
      <c r="C201" s="228"/>
      <c r="D201" s="229"/>
      <c r="E201" s="229"/>
      <c r="F201" s="229"/>
      <c r="G201" s="229"/>
      <c r="H201" s="230"/>
      <c r="I201" s="229"/>
      <c r="J201" s="220"/>
      <c r="K201" s="216"/>
      <c r="L201" s="216"/>
      <c r="M201" s="217"/>
      <c r="N201" s="217"/>
      <c r="O201" s="217"/>
      <c r="P201" s="213" t="str">
        <f t="shared" si="42"/>
        <v>No</v>
      </c>
      <c r="Q201" s="148" t="str">
        <f t="shared" si="43"/>
        <v>No</v>
      </c>
      <c r="R201" t="e">
        <f>VLOOKUP(F201, Property!A:B, 2,0)</f>
        <v>#N/A</v>
      </c>
      <c r="T201">
        <f t="shared" si="44"/>
        <v>0</v>
      </c>
      <c r="U201">
        <f t="shared" si="45"/>
        <v>0</v>
      </c>
      <c r="V201">
        <f t="shared" si="46"/>
        <v>0</v>
      </c>
      <c r="W201">
        <f t="shared" si="47"/>
        <v>0</v>
      </c>
      <c r="X201">
        <f t="shared" si="48"/>
        <v>0</v>
      </c>
      <c r="Y201">
        <f t="shared" si="49"/>
        <v>0</v>
      </c>
      <c r="Z201" s="150" t="str">
        <f t="shared" si="50"/>
        <v>No</v>
      </c>
      <c r="AA201" s="150" t="str">
        <f t="shared" si="51"/>
        <v>No</v>
      </c>
      <c r="AB201">
        <f t="shared" si="52"/>
        <v>0</v>
      </c>
      <c r="AC201">
        <f t="shared" si="53"/>
        <v>0</v>
      </c>
      <c r="AD201" t="str">
        <f t="shared" si="54"/>
        <v>No</v>
      </c>
      <c r="AE201" t="str">
        <f t="shared" si="55"/>
        <v>No</v>
      </c>
    </row>
    <row r="202" spans="1:31" x14ac:dyDescent="0.25">
      <c r="A202" s="227"/>
      <c r="B202" s="228"/>
      <c r="C202" s="228"/>
      <c r="D202" s="229"/>
      <c r="E202" s="229"/>
      <c r="F202" s="229"/>
      <c r="G202" s="229"/>
      <c r="H202" s="230"/>
      <c r="I202" s="229"/>
      <c r="J202" s="220"/>
      <c r="K202" s="216"/>
      <c r="L202" s="216"/>
      <c r="M202" s="216"/>
      <c r="N202" s="217"/>
      <c r="O202" s="217"/>
      <c r="P202" s="213" t="str">
        <f t="shared" si="42"/>
        <v>No</v>
      </c>
      <c r="Q202" s="148" t="str">
        <f t="shared" si="43"/>
        <v>No</v>
      </c>
      <c r="R202" t="e">
        <f>VLOOKUP(F202, Property!A:B, 2,0)</f>
        <v>#N/A</v>
      </c>
      <c r="T202">
        <f t="shared" si="44"/>
        <v>0</v>
      </c>
      <c r="U202">
        <f t="shared" si="45"/>
        <v>0</v>
      </c>
      <c r="V202">
        <f t="shared" si="46"/>
        <v>0</v>
      </c>
      <c r="W202">
        <f t="shared" si="47"/>
        <v>0</v>
      </c>
      <c r="X202">
        <f t="shared" si="48"/>
        <v>0</v>
      </c>
      <c r="Y202">
        <f t="shared" si="49"/>
        <v>0</v>
      </c>
      <c r="Z202" s="150" t="str">
        <f t="shared" si="50"/>
        <v>No</v>
      </c>
      <c r="AA202" s="150" t="str">
        <f t="shared" si="51"/>
        <v>No</v>
      </c>
      <c r="AB202">
        <f t="shared" si="52"/>
        <v>0</v>
      </c>
      <c r="AC202">
        <f t="shared" si="53"/>
        <v>0</v>
      </c>
      <c r="AD202" t="str">
        <f t="shared" si="54"/>
        <v>No</v>
      </c>
      <c r="AE202" t="str">
        <f t="shared" si="55"/>
        <v>No</v>
      </c>
    </row>
    <row r="203" spans="1:31" x14ac:dyDescent="0.25">
      <c r="A203" s="227"/>
      <c r="B203" s="228"/>
      <c r="C203" s="228"/>
      <c r="D203" s="229"/>
      <c r="E203" s="229"/>
      <c r="F203" s="229"/>
      <c r="G203" s="229"/>
      <c r="H203" s="230"/>
      <c r="I203" s="229"/>
      <c r="J203" s="220"/>
      <c r="K203" s="216"/>
      <c r="L203" s="216"/>
      <c r="M203" s="217"/>
      <c r="N203" s="217"/>
      <c r="O203" s="217"/>
      <c r="P203" s="213" t="str">
        <f t="shared" si="42"/>
        <v>No</v>
      </c>
      <c r="Q203" s="148" t="str">
        <f t="shared" si="43"/>
        <v>No</v>
      </c>
      <c r="R203" t="e">
        <f>VLOOKUP(F203, Property!A:B, 2,0)</f>
        <v>#N/A</v>
      </c>
      <c r="T203">
        <f t="shared" si="44"/>
        <v>0</v>
      </c>
      <c r="U203">
        <f t="shared" si="45"/>
        <v>0</v>
      </c>
      <c r="V203">
        <f t="shared" si="46"/>
        <v>0</v>
      </c>
      <c r="W203">
        <f t="shared" si="47"/>
        <v>0</v>
      </c>
      <c r="X203">
        <f t="shared" si="48"/>
        <v>0</v>
      </c>
      <c r="Y203">
        <f t="shared" si="49"/>
        <v>0</v>
      </c>
      <c r="Z203" s="150" t="str">
        <f t="shared" si="50"/>
        <v>No</v>
      </c>
      <c r="AA203" s="150" t="str">
        <f t="shared" si="51"/>
        <v>No</v>
      </c>
      <c r="AB203">
        <f t="shared" si="52"/>
        <v>0</v>
      </c>
      <c r="AC203">
        <f t="shared" si="53"/>
        <v>0</v>
      </c>
      <c r="AD203" t="str">
        <f t="shared" si="54"/>
        <v>No</v>
      </c>
      <c r="AE203" t="str">
        <f t="shared" si="55"/>
        <v>No</v>
      </c>
    </row>
    <row r="204" spans="1:31" x14ac:dyDescent="0.25">
      <c r="A204" s="227"/>
      <c r="B204" s="228"/>
      <c r="C204" s="228"/>
      <c r="D204" s="229"/>
      <c r="E204" s="229"/>
      <c r="F204" s="229"/>
      <c r="G204" s="229"/>
      <c r="H204" s="230"/>
      <c r="I204" s="229"/>
      <c r="J204" s="220"/>
      <c r="K204" s="216"/>
      <c r="L204" s="216"/>
      <c r="M204" s="216"/>
      <c r="N204" s="217"/>
      <c r="O204" s="217"/>
      <c r="P204" s="213" t="str">
        <f t="shared" si="42"/>
        <v>No</v>
      </c>
      <c r="Q204" s="148" t="str">
        <f t="shared" si="43"/>
        <v>No</v>
      </c>
      <c r="R204" t="e">
        <f>VLOOKUP(F204, Property!A:B, 2,0)</f>
        <v>#N/A</v>
      </c>
      <c r="T204">
        <f t="shared" si="44"/>
        <v>0</v>
      </c>
      <c r="U204">
        <f t="shared" si="45"/>
        <v>0</v>
      </c>
      <c r="V204">
        <f t="shared" si="46"/>
        <v>0</v>
      </c>
      <c r="W204">
        <f t="shared" si="47"/>
        <v>0</v>
      </c>
      <c r="X204">
        <f t="shared" si="48"/>
        <v>0</v>
      </c>
      <c r="Y204">
        <f t="shared" si="49"/>
        <v>0</v>
      </c>
      <c r="Z204" s="150" t="str">
        <f t="shared" si="50"/>
        <v>No</v>
      </c>
      <c r="AA204" s="150" t="str">
        <f t="shared" si="51"/>
        <v>No</v>
      </c>
      <c r="AB204">
        <f t="shared" si="52"/>
        <v>0</v>
      </c>
      <c r="AC204">
        <f t="shared" si="53"/>
        <v>0</v>
      </c>
      <c r="AD204" t="str">
        <f t="shared" si="54"/>
        <v>No</v>
      </c>
      <c r="AE204" t="str">
        <f t="shared" si="55"/>
        <v>No</v>
      </c>
    </row>
    <row r="205" spans="1:31" x14ac:dyDescent="0.25">
      <c r="A205" s="227"/>
      <c r="B205" s="228"/>
      <c r="C205" s="228"/>
      <c r="D205" s="229"/>
      <c r="E205" s="229"/>
      <c r="F205" s="229"/>
      <c r="G205" s="229"/>
      <c r="H205" s="230"/>
      <c r="I205" s="229"/>
      <c r="J205" s="220"/>
      <c r="K205" s="216"/>
      <c r="L205" s="216"/>
      <c r="M205" s="217"/>
      <c r="N205" s="217"/>
      <c r="O205" s="217"/>
      <c r="P205" s="213" t="str">
        <f t="shared" si="42"/>
        <v>No</v>
      </c>
      <c r="Q205" s="148" t="str">
        <f t="shared" si="43"/>
        <v>No</v>
      </c>
      <c r="R205" t="e">
        <f>VLOOKUP(F205, Property!A:B, 2,0)</f>
        <v>#N/A</v>
      </c>
      <c r="T205">
        <f t="shared" si="44"/>
        <v>0</v>
      </c>
      <c r="U205">
        <f t="shared" si="45"/>
        <v>0</v>
      </c>
      <c r="V205">
        <f t="shared" si="46"/>
        <v>0</v>
      </c>
      <c r="W205">
        <f t="shared" si="47"/>
        <v>0</v>
      </c>
      <c r="X205">
        <f t="shared" si="48"/>
        <v>0</v>
      </c>
      <c r="Y205">
        <f t="shared" si="49"/>
        <v>0</v>
      </c>
      <c r="Z205" s="150" t="str">
        <f t="shared" si="50"/>
        <v>No</v>
      </c>
      <c r="AA205" s="150" t="str">
        <f t="shared" si="51"/>
        <v>No</v>
      </c>
      <c r="AB205">
        <f t="shared" si="52"/>
        <v>0</v>
      </c>
      <c r="AC205">
        <f t="shared" si="53"/>
        <v>0</v>
      </c>
      <c r="AD205" t="str">
        <f t="shared" si="54"/>
        <v>No</v>
      </c>
      <c r="AE205" t="str">
        <f t="shared" si="55"/>
        <v>No</v>
      </c>
    </row>
    <row r="206" spans="1:31" x14ac:dyDescent="0.25">
      <c r="A206" s="227"/>
      <c r="B206" s="228"/>
      <c r="C206" s="228"/>
      <c r="D206" s="229"/>
      <c r="E206" s="229"/>
      <c r="F206" s="229"/>
      <c r="G206" s="229"/>
      <c r="H206" s="229"/>
      <c r="I206" s="229"/>
      <c r="J206" s="220"/>
      <c r="K206" s="216"/>
      <c r="L206" s="216"/>
      <c r="M206" s="217"/>
      <c r="N206" s="217"/>
      <c r="O206" s="217"/>
      <c r="P206" s="213" t="str">
        <f t="shared" si="42"/>
        <v>No</v>
      </c>
      <c r="Q206" s="148" t="str">
        <f t="shared" si="43"/>
        <v>No</v>
      </c>
      <c r="R206" t="e">
        <f>VLOOKUP(F206, Property!A:B, 2,0)</f>
        <v>#N/A</v>
      </c>
      <c r="T206">
        <f t="shared" si="44"/>
        <v>0</v>
      </c>
      <c r="U206">
        <f t="shared" si="45"/>
        <v>0</v>
      </c>
      <c r="V206">
        <f t="shared" si="46"/>
        <v>0</v>
      </c>
      <c r="W206">
        <f t="shared" si="47"/>
        <v>0</v>
      </c>
      <c r="X206">
        <f t="shared" si="48"/>
        <v>0</v>
      </c>
      <c r="Y206">
        <f t="shared" si="49"/>
        <v>0</v>
      </c>
      <c r="Z206" s="150" t="str">
        <f t="shared" si="50"/>
        <v>No</v>
      </c>
      <c r="AA206" s="150" t="str">
        <f t="shared" si="51"/>
        <v>No</v>
      </c>
      <c r="AB206">
        <f t="shared" si="52"/>
        <v>0</v>
      </c>
      <c r="AC206">
        <f t="shared" si="53"/>
        <v>0</v>
      </c>
      <c r="AD206" t="str">
        <f t="shared" si="54"/>
        <v>No</v>
      </c>
      <c r="AE206" t="str">
        <f t="shared" si="55"/>
        <v>No</v>
      </c>
    </row>
    <row r="207" spans="1:31" x14ac:dyDescent="0.25">
      <c r="A207" s="227"/>
      <c r="B207" s="228"/>
      <c r="C207" s="228"/>
      <c r="D207" s="229"/>
      <c r="E207" s="229"/>
      <c r="F207" s="229"/>
      <c r="G207" s="229"/>
      <c r="H207" s="229"/>
      <c r="I207" s="229"/>
      <c r="J207" s="220"/>
      <c r="K207" s="216"/>
      <c r="L207" s="216"/>
      <c r="M207" s="217"/>
      <c r="N207" s="217"/>
      <c r="O207" s="217"/>
      <c r="P207" s="213" t="str">
        <f t="shared" si="42"/>
        <v>No</v>
      </c>
      <c r="Q207" s="148" t="str">
        <f t="shared" si="43"/>
        <v>No</v>
      </c>
      <c r="R207" t="e">
        <f>VLOOKUP(F207, Property!A:B, 2,0)</f>
        <v>#N/A</v>
      </c>
      <c r="T207">
        <f t="shared" si="44"/>
        <v>0</v>
      </c>
      <c r="U207">
        <f t="shared" si="45"/>
        <v>0</v>
      </c>
      <c r="V207">
        <f t="shared" si="46"/>
        <v>0</v>
      </c>
      <c r="W207">
        <f t="shared" si="47"/>
        <v>0</v>
      </c>
      <c r="X207">
        <f t="shared" si="48"/>
        <v>0</v>
      </c>
      <c r="Y207">
        <f t="shared" si="49"/>
        <v>0</v>
      </c>
      <c r="Z207" s="150" t="str">
        <f t="shared" si="50"/>
        <v>No</v>
      </c>
      <c r="AA207" s="150" t="str">
        <f t="shared" si="51"/>
        <v>No</v>
      </c>
      <c r="AB207">
        <f t="shared" si="52"/>
        <v>0</v>
      </c>
      <c r="AC207">
        <f t="shared" si="53"/>
        <v>0</v>
      </c>
      <c r="AD207" t="str">
        <f t="shared" si="54"/>
        <v>No</v>
      </c>
      <c r="AE207" t="str">
        <f t="shared" si="55"/>
        <v>No</v>
      </c>
    </row>
    <row r="208" spans="1:31" x14ac:dyDescent="0.25">
      <c r="A208" s="227"/>
      <c r="B208" s="228"/>
      <c r="C208" s="228"/>
      <c r="D208" s="229"/>
      <c r="E208" s="229"/>
      <c r="F208" s="229"/>
      <c r="G208" s="229"/>
      <c r="H208" s="229"/>
      <c r="I208" s="229"/>
      <c r="J208" s="220"/>
      <c r="K208" s="216"/>
      <c r="L208" s="216"/>
      <c r="M208" s="217"/>
      <c r="N208" s="217"/>
      <c r="O208" s="217"/>
      <c r="P208" s="213" t="str">
        <f t="shared" si="42"/>
        <v>No</v>
      </c>
      <c r="Q208" s="148" t="str">
        <f t="shared" si="43"/>
        <v>No</v>
      </c>
      <c r="R208" t="e">
        <f>VLOOKUP(F208, Property!A:B, 2,0)</f>
        <v>#N/A</v>
      </c>
      <c r="T208">
        <f t="shared" si="44"/>
        <v>0</v>
      </c>
      <c r="U208">
        <f t="shared" si="45"/>
        <v>0</v>
      </c>
      <c r="V208">
        <f t="shared" si="46"/>
        <v>0</v>
      </c>
      <c r="W208">
        <f t="shared" si="47"/>
        <v>0</v>
      </c>
      <c r="X208">
        <f t="shared" si="48"/>
        <v>0</v>
      </c>
      <c r="Y208">
        <f t="shared" si="49"/>
        <v>0</v>
      </c>
      <c r="Z208" s="150" t="str">
        <f t="shared" si="50"/>
        <v>No</v>
      </c>
      <c r="AA208" s="150" t="str">
        <f t="shared" si="51"/>
        <v>No</v>
      </c>
      <c r="AB208">
        <f t="shared" si="52"/>
        <v>0</v>
      </c>
      <c r="AC208">
        <f t="shared" si="53"/>
        <v>0</v>
      </c>
      <c r="AD208" t="str">
        <f t="shared" si="54"/>
        <v>No</v>
      </c>
      <c r="AE208" t="str">
        <f t="shared" si="55"/>
        <v>No</v>
      </c>
    </row>
    <row r="209" spans="1:31" x14ac:dyDescent="0.25">
      <c r="A209" s="227"/>
      <c r="B209" s="228"/>
      <c r="C209" s="228"/>
      <c r="D209" s="229"/>
      <c r="E209" s="229"/>
      <c r="F209" s="229"/>
      <c r="G209" s="229"/>
      <c r="H209" s="229"/>
      <c r="I209" s="229"/>
      <c r="J209" s="220"/>
      <c r="K209" s="216"/>
      <c r="L209" s="216"/>
      <c r="M209" s="217"/>
      <c r="N209" s="217"/>
      <c r="O209" s="217"/>
      <c r="P209" s="213" t="str">
        <f t="shared" si="42"/>
        <v>No</v>
      </c>
      <c r="Q209" s="148" t="str">
        <f t="shared" si="43"/>
        <v>No</v>
      </c>
      <c r="R209" t="e">
        <f>VLOOKUP(F209, Property!A:B, 2,0)</f>
        <v>#N/A</v>
      </c>
      <c r="T209">
        <f t="shared" si="44"/>
        <v>0</v>
      </c>
      <c r="U209">
        <f t="shared" si="45"/>
        <v>0</v>
      </c>
      <c r="V209">
        <f t="shared" si="46"/>
        <v>0</v>
      </c>
      <c r="W209">
        <f t="shared" si="47"/>
        <v>0</v>
      </c>
      <c r="X209">
        <f t="shared" si="48"/>
        <v>0</v>
      </c>
      <c r="Y209">
        <f t="shared" si="49"/>
        <v>0</v>
      </c>
      <c r="Z209" s="150" t="str">
        <f t="shared" si="50"/>
        <v>No</v>
      </c>
      <c r="AA209" s="150" t="str">
        <f t="shared" si="51"/>
        <v>No</v>
      </c>
      <c r="AB209">
        <f t="shared" si="52"/>
        <v>0</v>
      </c>
      <c r="AC209">
        <f t="shared" si="53"/>
        <v>0</v>
      </c>
      <c r="AD209" t="str">
        <f t="shared" si="54"/>
        <v>No</v>
      </c>
      <c r="AE209" t="str">
        <f t="shared" si="55"/>
        <v>No</v>
      </c>
    </row>
    <row r="210" spans="1:31" x14ac:dyDescent="0.25">
      <c r="A210" s="227"/>
      <c r="B210" s="228"/>
      <c r="C210" s="228"/>
      <c r="D210" s="229"/>
      <c r="E210" s="229"/>
      <c r="F210" s="229"/>
      <c r="G210" s="229"/>
      <c r="H210" s="229"/>
      <c r="I210" s="229"/>
      <c r="J210" s="220"/>
      <c r="K210" s="216"/>
      <c r="L210" s="216"/>
      <c r="M210" s="217"/>
      <c r="N210" s="217"/>
      <c r="O210" s="217"/>
      <c r="P210" s="213" t="str">
        <f t="shared" si="42"/>
        <v>No</v>
      </c>
      <c r="Q210" s="148" t="str">
        <f t="shared" si="43"/>
        <v>No</v>
      </c>
      <c r="R210" t="e">
        <f>VLOOKUP(F210, Property!A:B, 2,0)</f>
        <v>#N/A</v>
      </c>
      <c r="T210">
        <f t="shared" si="44"/>
        <v>0</v>
      </c>
      <c r="U210">
        <f t="shared" si="45"/>
        <v>0</v>
      </c>
      <c r="V210">
        <f t="shared" si="46"/>
        <v>0</v>
      </c>
      <c r="W210">
        <f t="shared" si="47"/>
        <v>0</v>
      </c>
      <c r="X210">
        <f t="shared" si="48"/>
        <v>0</v>
      </c>
      <c r="Y210">
        <f t="shared" si="49"/>
        <v>0</v>
      </c>
      <c r="Z210" s="150" t="str">
        <f t="shared" si="50"/>
        <v>No</v>
      </c>
      <c r="AA210" s="150" t="str">
        <f t="shared" si="51"/>
        <v>No</v>
      </c>
      <c r="AB210">
        <f t="shared" si="52"/>
        <v>0</v>
      </c>
      <c r="AC210">
        <f t="shared" si="53"/>
        <v>0</v>
      </c>
      <c r="AD210" t="str">
        <f t="shared" si="54"/>
        <v>No</v>
      </c>
      <c r="AE210" t="str">
        <f t="shared" si="55"/>
        <v>No</v>
      </c>
    </row>
    <row r="211" spans="1:31" x14ac:dyDescent="0.25">
      <c r="A211" s="227"/>
      <c r="B211" s="228"/>
      <c r="C211" s="228"/>
      <c r="D211" s="229"/>
      <c r="E211" s="229"/>
      <c r="F211" s="229"/>
      <c r="G211" s="229"/>
      <c r="H211" s="229"/>
      <c r="I211" s="229"/>
      <c r="J211" s="220"/>
      <c r="K211" s="216"/>
      <c r="L211" s="216"/>
      <c r="M211" s="217"/>
      <c r="N211" s="217"/>
      <c r="O211" s="217"/>
      <c r="P211" s="213" t="str">
        <f t="shared" si="42"/>
        <v>No</v>
      </c>
      <c r="Q211" s="148" t="str">
        <f t="shared" si="43"/>
        <v>No</v>
      </c>
      <c r="R211" t="e">
        <f>VLOOKUP(F211, Property!A:B, 2,0)</f>
        <v>#N/A</v>
      </c>
      <c r="T211">
        <f t="shared" si="44"/>
        <v>0</v>
      </c>
      <c r="U211">
        <f t="shared" si="45"/>
        <v>0</v>
      </c>
      <c r="V211">
        <f t="shared" si="46"/>
        <v>0</v>
      </c>
      <c r="W211">
        <f t="shared" si="47"/>
        <v>0</v>
      </c>
      <c r="X211">
        <f t="shared" si="48"/>
        <v>0</v>
      </c>
      <c r="Y211">
        <f t="shared" si="49"/>
        <v>0</v>
      </c>
      <c r="Z211" s="150" t="str">
        <f t="shared" si="50"/>
        <v>No</v>
      </c>
      <c r="AA211" s="150" t="str">
        <f t="shared" si="51"/>
        <v>No</v>
      </c>
      <c r="AB211">
        <f t="shared" si="52"/>
        <v>0</v>
      </c>
      <c r="AC211">
        <f t="shared" si="53"/>
        <v>0</v>
      </c>
      <c r="AD211" t="str">
        <f t="shared" si="54"/>
        <v>No</v>
      </c>
      <c r="AE211" t="str">
        <f t="shared" si="55"/>
        <v>No</v>
      </c>
    </row>
    <row r="212" spans="1:31" x14ac:dyDescent="0.25">
      <c r="A212" s="227"/>
      <c r="B212" s="228"/>
      <c r="C212" s="228"/>
      <c r="D212" s="229"/>
      <c r="E212" s="229"/>
      <c r="F212" s="229"/>
      <c r="G212" s="229"/>
      <c r="H212" s="229"/>
      <c r="I212" s="229"/>
      <c r="J212" s="220"/>
      <c r="K212" s="216"/>
      <c r="L212" s="216"/>
      <c r="M212" s="217"/>
      <c r="N212" s="217"/>
      <c r="O212" s="217"/>
      <c r="P212" s="213" t="str">
        <f t="shared" si="42"/>
        <v>No</v>
      </c>
      <c r="Q212" s="148" t="str">
        <f t="shared" si="43"/>
        <v>No</v>
      </c>
      <c r="R212" t="e">
        <f>VLOOKUP(F212, Property!A:B, 2,0)</f>
        <v>#N/A</v>
      </c>
      <c r="T212">
        <f t="shared" si="44"/>
        <v>0</v>
      </c>
      <c r="U212">
        <f t="shared" si="45"/>
        <v>0</v>
      </c>
      <c r="V212">
        <f t="shared" si="46"/>
        <v>0</v>
      </c>
      <c r="W212">
        <f t="shared" si="47"/>
        <v>0</v>
      </c>
      <c r="X212">
        <f t="shared" si="48"/>
        <v>0</v>
      </c>
      <c r="Y212">
        <f t="shared" si="49"/>
        <v>0</v>
      </c>
      <c r="Z212" s="150" t="str">
        <f t="shared" si="50"/>
        <v>No</v>
      </c>
      <c r="AA212" s="150" t="str">
        <f t="shared" si="51"/>
        <v>No</v>
      </c>
      <c r="AB212">
        <f t="shared" si="52"/>
        <v>0</v>
      </c>
      <c r="AC212">
        <f t="shared" si="53"/>
        <v>0</v>
      </c>
      <c r="AD212" t="str">
        <f t="shared" si="54"/>
        <v>No</v>
      </c>
      <c r="AE212" t="str">
        <f t="shared" si="55"/>
        <v>No</v>
      </c>
    </row>
    <row r="213" spans="1:31" x14ac:dyDescent="0.25">
      <c r="A213" s="227"/>
      <c r="B213" s="228"/>
      <c r="C213" s="228"/>
      <c r="D213" s="229"/>
      <c r="E213" s="229"/>
      <c r="F213" s="229"/>
      <c r="G213" s="229"/>
      <c r="H213" s="229"/>
      <c r="I213" s="229"/>
      <c r="J213" s="220"/>
      <c r="K213" s="216"/>
      <c r="L213" s="216"/>
      <c r="M213" s="217"/>
      <c r="N213" s="217"/>
      <c r="O213" s="217"/>
      <c r="P213" s="213" t="str">
        <f t="shared" si="42"/>
        <v>No</v>
      </c>
      <c r="Q213" s="148" t="str">
        <f t="shared" si="43"/>
        <v>No</v>
      </c>
      <c r="R213" t="e">
        <f>VLOOKUP(F213, Property!A:B, 2,0)</f>
        <v>#N/A</v>
      </c>
      <c r="T213">
        <f t="shared" si="44"/>
        <v>0</v>
      </c>
      <c r="U213">
        <f t="shared" si="45"/>
        <v>0</v>
      </c>
      <c r="V213">
        <f t="shared" si="46"/>
        <v>0</v>
      </c>
      <c r="W213">
        <f t="shared" si="47"/>
        <v>0</v>
      </c>
      <c r="X213">
        <f t="shared" si="48"/>
        <v>0</v>
      </c>
      <c r="Y213">
        <f t="shared" si="49"/>
        <v>0</v>
      </c>
      <c r="Z213" s="150" t="str">
        <f t="shared" si="50"/>
        <v>No</v>
      </c>
      <c r="AA213" s="150" t="str">
        <f t="shared" si="51"/>
        <v>No</v>
      </c>
      <c r="AB213">
        <f t="shared" si="52"/>
        <v>0</v>
      </c>
      <c r="AC213">
        <f t="shared" si="53"/>
        <v>0</v>
      </c>
      <c r="AD213" t="str">
        <f t="shared" si="54"/>
        <v>No</v>
      </c>
      <c r="AE213" t="str">
        <f t="shared" si="55"/>
        <v>No</v>
      </c>
    </row>
    <row r="214" spans="1:31" x14ac:dyDescent="0.25">
      <c r="A214" s="227"/>
      <c r="B214" s="228"/>
      <c r="C214" s="228"/>
      <c r="D214" s="229"/>
      <c r="E214" s="229"/>
      <c r="F214" s="229"/>
      <c r="G214" s="229"/>
      <c r="H214" s="229"/>
      <c r="I214" s="229"/>
      <c r="J214" s="220"/>
      <c r="K214" s="216"/>
      <c r="L214" s="216"/>
      <c r="M214" s="217"/>
      <c r="N214" s="217"/>
      <c r="O214" s="217"/>
      <c r="P214" s="213" t="str">
        <f t="shared" si="42"/>
        <v>No</v>
      </c>
      <c r="Q214" s="148" t="str">
        <f t="shared" si="43"/>
        <v>No</v>
      </c>
      <c r="R214" t="e">
        <f>VLOOKUP(F214, Property!A:B, 2,0)</f>
        <v>#N/A</v>
      </c>
      <c r="T214">
        <f t="shared" si="44"/>
        <v>0</v>
      </c>
      <c r="U214">
        <f t="shared" si="45"/>
        <v>0</v>
      </c>
      <c r="V214">
        <f t="shared" si="46"/>
        <v>0</v>
      </c>
      <c r="W214">
        <f t="shared" si="47"/>
        <v>0</v>
      </c>
      <c r="X214">
        <f t="shared" si="48"/>
        <v>0</v>
      </c>
      <c r="Y214">
        <f t="shared" si="49"/>
        <v>0</v>
      </c>
      <c r="Z214" s="150" t="str">
        <f t="shared" si="50"/>
        <v>No</v>
      </c>
      <c r="AA214" s="150" t="str">
        <f t="shared" si="51"/>
        <v>No</v>
      </c>
      <c r="AB214">
        <f t="shared" si="52"/>
        <v>0</v>
      </c>
      <c r="AC214">
        <f t="shared" si="53"/>
        <v>0</v>
      </c>
      <c r="AD214" t="str">
        <f t="shared" si="54"/>
        <v>No</v>
      </c>
      <c r="AE214" t="str">
        <f t="shared" si="55"/>
        <v>No</v>
      </c>
    </row>
    <row r="215" spans="1:31" x14ac:dyDescent="0.25">
      <c r="A215" s="227"/>
      <c r="B215" s="228"/>
      <c r="C215" s="228"/>
      <c r="D215" s="229"/>
      <c r="E215" s="229"/>
      <c r="F215" s="229"/>
      <c r="G215" s="229"/>
      <c r="H215" s="229"/>
      <c r="I215" s="229"/>
      <c r="J215" s="220"/>
      <c r="K215" s="216"/>
      <c r="L215" s="216"/>
      <c r="M215" s="217"/>
      <c r="N215" s="217"/>
      <c r="O215" s="217"/>
      <c r="P215" s="213" t="str">
        <f t="shared" si="42"/>
        <v>No</v>
      </c>
      <c r="Q215" s="148" t="str">
        <f t="shared" si="43"/>
        <v>No</v>
      </c>
      <c r="R215" t="e">
        <f>VLOOKUP(F215, Property!A:B, 2,0)</f>
        <v>#N/A</v>
      </c>
      <c r="T215">
        <f t="shared" si="44"/>
        <v>0</v>
      </c>
      <c r="U215">
        <f t="shared" si="45"/>
        <v>0</v>
      </c>
      <c r="V215">
        <f t="shared" si="46"/>
        <v>0</v>
      </c>
      <c r="W215">
        <f t="shared" si="47"/>
        <v>0</v>
      </c>
      <c r="X215">
        <f t="shared" si="48"/>
        <v>0</v>
      </c>
      <c r="Y215">
        <f t="shared" si="49"/>
        <v>0</v>
      </c>
      <c r="Z215" s="150" t="str">
        <f t="shared" si="50"/>
        <v>No</v>
      </c>
      <c r="AA215" s="150" t="str">
        <f t="shared" si="51"/>
        <v>No</v>
      </c>
      <c r="AB215">
        <f t="shared" si="52"/>
        <v>0</v>
      </c>
      <c r="AC215">
        <f t="shared" si="53"/>
        <v>0</v>
      </c>
      <c r="AD215" t="str">
        <f t="shared" si="54"/>
        <v>No</v>
      </c>
      <c r="AE215" t="str">
        <f t="shared" si="55"/>
        <v>No</v>
      </c>
    </row>
    <row r="216" spans="1:31" x14ac:dyDescent="0.25">
      <c r="A216" s="227"/>
      <c r="B216" s="228"/>
      <c r="C216" s="228"/>
      <c r="D216" s="229"/>
      <c r="E216" s="229"/>
      <c r="F216" s="229"/>
      <c r="G216" s="229"/>
      <c r="H216" s="230"/>
      <c r="I216" s="229"/>
      <c r="J216" s="220"/>
      <c r="K216" s="216"/>
      <c r="L216" s="216"/>
      <c r="M216" s="217"/>
      <c r="N216" s="217"/>
      <c r="O216" s="217"/>
      <c r="P216" s="213" t="str">
        <f t="shared" si="42"/>
        <v>No</v>
      </c>
      <c r="Q216" s="148" t="str">
        <f t="shared" si="43"/>
        <v>No</v>
      </c>
      <c r="R216" t="e">
        <f>VLOOKUP(F216, Property!A:B, 2,0)</f>
        <v>#N/A</v>
      </c>
      <c r="T216">
        <f t="shared" si="44"/>
        <v>0</v>
      </c>
      <c r="U216">
        <f t="shared" si="45"/>
        <v>0</v>
      </c>
      <c r="V216">
        <f t="shared" si="46"/>
        <v>0</v>
      </c>
      <c r="W216">
        <f t="shared" si="47"/>
        <v>0</v>
      </c>
      <c r="X216">
        <f t="shared" si="48"/>
        <v>0</v>
      </c>
      <c r="Y216">
        <f t="shared" si="49"/>
        <v>0</v>
      </c>
      <c r="Z216" s="150" t="str">
        <f t="shared" si="50"/>
        <v>No</v>
      </c>
      <c r="AA216" s="150" t="str">
        <f t="shared" si="51"/>
        <v>No</v>
      </c>
      <c r="AB216">
        <f t="shared" si="52"/>
        <v>0</v>
      </c>
      <c r="AC216">
        <f t="shared" si="53"/>
        <v>0</v>
      </c>
      <c r="AD216" t="str">
        <f t="shared" si="54"/>
        <v>No</v>
      </c>
      <c r="AE216" t="str">
        <f t="shared" si="55"/>
        <v>No</v>
      </c>
    </row>
    <row r="217" spans="1:31" x14ac:dyDescent="0.25">
      <c r="A217" s="227"/>
      <c r="B217" s="228"/>
      <c r="C217" s="228"/>
      <c r="D217" s="229"/>
      <c r="E217" s="229"/>
      <c r="F217" s="229"/>
      <c r="G217" s="229"/>
      <c r="H217" s="230"/>
      <c r="I217" s="229"/>
      <c r="J217" s="220"/>
      <c r="K217" s="216"/>
      <c r="L217" s="216"/>
      <c r="M217" s="217"/>
      <c r="N217" s="217"/>
      <c r="O217" s="217"/>
      <c r="P217" s="213" t="str">
        <f t="shared" si="42"/>
        <v>No</v>
      </c>
      <c r="Q217" s="148" t="str">
        <f t="shared" si="43"/>
        <v>No</v>
      </c>
      <c r="R217" t="e">
        <f>VLOOKUP(F217, Property!A:B, 2,0)</f>
        <v>#N/A</v>
      </c>
      <c r="T217">
        <f t="shared" si="44"/>
        <v>0</v>
      </c>
      <c r="U217">
        <f t="shared" si="45"/>
        <v>0</v>
      </c>
      <c r="V217">
        <f t="shared" si="46"/>
        <v>0</v>
      </c>
      <c r="W217">
        <f t="shared" si="47"/>
        <v>0</v>
      </c>
      <c r="X217">
        <f t="shared" si="48"/>
        <v>0</v>
      </c>
      <c r="Y217">
        <f t="shared" si="49"/>
        <v>0</v>
      </c>
      <c r="Z217" s="150" t="str">
        <f t="shared" si="50"/>
        <v>No</v>
      </c>
      <c r="AA217" s="150" t="str">
        <f t="shared" si="51"/>
        <v>No</v>
      </c>
      <c r="AB217">
        <f t="shared" si="52"/>
        <v>0</v>
      </c>
      <c r="AC217">
        <f t="shared" si="53"/>
        <v>0</v>
      </c>
      <c r="AD217" t="str">
        <f t="shared" si="54"/>
        <v>No</v>
      </c>
      <c r="AE217" t="str">
        <f t="shared" si="55"/>
        <v>No</v>
      </c>
    </row>
    <row r="218" spans="1:31" x14ac:dyDescent="0.25">
      <c r="A218" s="227"/>
      <c r="B218" s="228"/>
      <c r="C218" s="228"/>
      <c r="D218" s="229"/>
      <c r="E218" s="229"/>
      <c r="F218" s="229"/>
      <c r="G218" s="229"/>
      <c r="H218" s="229"/>
      <c r="I218" s="229"/>
      <c r="J218" s="220"/>
      <c r="K218" s="216"/>
      <c r="L218" s="216"/>
      <c r="M218" s="217"/>
      <c r="N218" s="217"/>
      <c r="O218" s="217"/>
      <c r="P218" s="213" t="str">
        <f t="shared" si="42"/>
        <v>No</v>
      </c>
      <c r="Q218" s="148" t="str">
        <f t="shared" si="43"/>
        <v>No</v>
      </c>
      <c r="R218" t="e">
        <f>VLOOKUP(F218, Property!A:B, 2,0)</f>
        <v>#N/A</v>
      </c>
      <c r="T218">
        <f t="shared" si="44"/>
        <v>0</v>
      </c>
      <c r="U218">
        <f t="shared" si="45"/>
        <v>0</v>
      </c>
      <c r="V218">
        <f t="shared" si="46"/>
        <v>0</v>
      </c>
      <c r="W218">
        <f t="shared" si="47"/>
        <v>0</v>
      </c>
      <c r="X218">
        <f t="shared" si="48"/>
        <v>0</v>
      </c>
      <c r="Y218">
        <f t="shared" si="49"/>
        <v>0</v>
      </c>
      <c r="Z218" s="150" t="str">
        <f t="shared" si="50"/>
        <v>No</v>
      </c>
      <c r="AA218" s="150" t="str">
        <f t="shared" si="51"/>
        <v>No</v>
      </c>
      <c r="AB218">
        <f t="shared" si="52"/>
        <v>0</v>
      </c>
      <c r="AC218">
        <f t="shared" si="53"/>
        <v>0</v>
      </c>
      <c r="AD218" t="str">
        <f t="shared" si="54"/>
        <v>No</v>
      </c>
      <c r="AE218" t="str">
        <f t="shared" si="55"/>
        <v>No</v>
      </c>
    </row>
    <row r="219" spans="1:31" x14ac:dyDescent="0.25">
      <c r="A219" s="227"/>
      <c r="B219" s="228"/>
      <c r="C219" s="228"/>
      <c r="D219" s="229"/>
      <c r="E219" s="229"/>
      <c r="F219" s="229"/>
      <c r="G219" s="229"/>
      <c r="H219" s="229"/>
      <c r="I219" s="229"/>
      <c r="J219" s="220"/>
      <c r="K219" s="216"/>
      <c r="L219" s="216"/>
      <c r="M219" s="217"/>
      <c r="N219" s="217"/>
      <c r="O219" s="217"/>
      <c r="P219" s="213" t="str">
        <f t="shared" si="42"/>
        <v>No</v>
      </c>
      <c r="Q219" s="148" t="str">
        <f t="shared" si="43"/>
        <v>No</v>
      </c>
      <c r="R219" t="e">
        <f>VLOOKUP(F219, Property!A:B, 2,0)</f>
        <v>#N/A</v>
      </c>
      <c r="T219">
        <f t="shared" si="44"/>
        <v>0</v>
      </c>
      <c r="U219">
        <f t="shared" si="45"/>
        <v>0</v>
      </c>
      <c r="V219">
        <f t="shared" si="46"/>
        <v>0</v>
      </c>
      <c r="W219">
        <f t="shared" si="47"/>
        <v>0</v>
      </c>
      <c r="X219">
        <f t="shared" si="48"/>
        <v>0</v>
      </c>
      <c r="Y219">
        <f t="shared" si="49"/>
        <v>0</v>
      </c>
      <c r="Z219" s="150" t="str">
        <f t="shared" si="50"/>
        <v>No</v>
      </c>
      <c r="AA219" s="150" t="str">
        <f t="shared" si="51"/>
        <v>No</v>
      </c>
      <c r="AB219">
        <f t="shared" si="52"/>
        <v>0</v>
      </c>
      <c r="AC219">
        <f t="shared" si="53"/>
        <v>0</v>
      </c>
      <c r="AD219" t="str">
        <f t="shared" si="54"/>
        <v>No</v>
      </c>
      <c r="AE219" t="str">
        <f t="shared" si="55"/>
        <v>No</v>
      </c>
    </row>
    <row r="220" spans="1:31" x14ac:dyDescent="0.25">
      <c r="A220" s="227"/>
      <c r="B220" s="228"/>
      <c r="C220" s="228"/>
      <c r="D220" s="229"/>
      <c r="E220" s="229"/>
      <c r="F220" s="229"/>
      <c r="G220" s="229"/>
      <c r="H220" s="229"/>
      <c r="I220" s="229"/>
      <c r="J220" s="220"/>
      <c r="K220" s="216"/>
      <c r="L220" s="216"/>
      <c r="M220" s="217"/>
      <c r="N220" s="217"/>
      <c r="O220" s="217"/>
      <c r="P220" s="213" t="str">
        <f t="shared" si="42"/>
        <v>No</v>
      </c>
      <c r="Q220" s="148" t="str">
        <f t="shared" si="43"/>
        <v>No</v>
      </c>
      <c r="R220" t="e">
        <f>VLOOKUP(F220, Property!A:B, 2,0)</f>
        <v>#N/A</v>
      </c>
      <c r="T220">
        <f t="shared" si="44"/>
        <v>0</v>
      </c>
      <c r="U220">
        <f t="shared" si="45"/>
        <v>0</v>
      </c>
      <c r="V220">
        <f t="shared" si="46"/>
        <v>0</v>
      </c>
      <c r="W220">
        <f t="shared" si="47"/>
        <v>0</v>
      </c>
      <c r="X220">
        <f t="shared" si="48"/>
        <v>0</v>
      </c>
      <c r="Y220">
        <f t="shared" si="49"/>
        <v>0</v>
      </c>
      <c r="Z220" s="150" t="str">
        <f t="shared" si="50"/>
        <v>No</v>
      </c>
      <c r="AA220" s="150" t="str">
        <f t="shared" si="51"/>
        <v>No</v>
      </c>
      <c r="AB220">
        <f t="shared" si="52"/>
        <v>0</v>
      </c>
      <c r="AC220">
        <f t="shared" si="53"/>
        <v>0</v>
      </c>
      <c r="AD220" t="str">
        <f t="shared" si="54"/>
        <v>No</v>
      </c>
      <c r="AE220" t="str">
        <f t="shared" si="55"/>
        <v>No</v>
      </c>
    </row>
    <row r="221" spans="1:31" x14ac:dyDescent="0.25">
      <c r="A221" s="227"/>
      <c r="B221" s="228"/>
      <c r="C221" s="228"/>
      <c r="D221" s="229"/>
      <c r="E221" s="229"/>
      <c r="F221" s="229"/>
      <c r="G221" s="229"/>
      <c r="H221" s="229"/>
      <c r="I221" s="229"/>
      <c r="J221" s="220"/>
      <c r="K221" s="216"/>
      <c r="L221" s="216"/>
      <c r="M221" s="217"/>
      <c r="N221" s="217"/>
      <c r="O221" s="217"/>
      <c r="P221" s="213" t="str">
        <f t="shared" si="42"/>
        <v>No</v>
      </c>
      <c r="Q221" s="148" t="str">
        <f t="shared" si="43"/>
        <v>No</v>
      </c>
      <c r="R221" t="e">
        <f>VLOOKUP(F221, Property!A:B, 2,0)</f>
        <v>#N/A</v>
      </c>
      <c r="T221">
        <f t="shared" si="44"/>
        <v>0</v>
      </c>
      <c r="U221">
        <f t="shared" si="45"/>
        <v>0</v>
      </c>
      <c r="V221">
        <f t="shared" si="46"/>
        <v>0</v>
      </c>
      <c r="W221">
        <f t="shared" si="47"/>
        <v>0</v>
      </c>
      <c r="X221">
        <f t="shared" si="48"/>
        <v>0</v>
      </c>
      <c r="Y221">
        <f t="shared" si="49"/>
        <v>0</v>
      </c>
      <c r="Z221" s="150" t="str">
        <f t="shared" si="50"/>
        <v>No</v>
      </c>
      <c r="AA221" s="150" t="str">
        <f t="shared" si="51"/>
        <v>No</v>
      </c>
      <c r="AB221">
        <f t="shared" si="52"/>
        <v>0</v>
      </c>
      <c r="AC221">
        <f t="shared" si="53"/>
        <v>0</v>
      </c>
      <c r="AD221" t="str">
        <f t="shared" si="54"/>
        <v>No</v>
      </c>
      <c r="AE221" t="str">
        <f t="shared" si="55"/>
        <v>No</v>
      </c>
    </row>
    <row r="222" spans="1:31" x14ac:dyDescent="0.25">
      <c r="A222" s="227"/>
      <c r="B222" s="228"/>
      <c r="C222" s="228"/>
      <c r="D222" s="229"/>
      <c r="E222" s="229"/>
      <c r="F222" s="229"/>
      <c r="G222" s="229"/>
      <c r="H222" s="230"/>
      <c r="I222" s="229"/>
      <c r="J222" s="220"/>
      <c r="K222" s="216"/>
      <c r="L222" s="216"/>
      <c r="M222" s="217"/>
      <c r="N222" s="217"/>
      <c r="O222" s="217"/>
      <c r="P222" s="213" t="str">
        <f t="shared" si="42"/>
        <v>No</v>
      </c>
      <c r="Q222" s="148" t="str">
        <f t="shared" si="43"/>
        <v>No</v>
      </c>
      <c r="R222" t="e">
        <f>VLOOKUP(F222, Property!A:B, 2,0)</f>
        <v>#N/A</v>
      </c>
      <c r="T222">
        <f t="shared" si="44"/>
        <v>0</v>
      </c>
      <c r="U222">
        <f t="shared" si="45"/>
        <v>0</v>
      </c>
      <c r="V222">
        <f t="shared" si="46"/>
        <v>0</v>
      </c>
      <c r="W222">
        <f t="shared" si="47"/>
        <v>0</v>
      </c>
      <c r="X222">
        <f t="shared" si="48"/>
        <v>0</v>
      </c>
      <c r="Y222">
        <f t="shared" si="49"/>
        <v>0</v>
      </c>
      <c r="Z222" s="150" t="str">
        <f t="shared" si="50"/>
        <v>No</v>
      </c>
      <c r="AA222" s="150" t="str">
        <f t="shared" si="51"/>
        <v>No</v>
      </c>
      <c r="AB222">
        <f t="shared" si="52"/>
        <v>0</v>
      </c>
      <c r="AC222">
        <f t="shared" si="53"/>
        <v>0</v>
      </c>
      <c r="AD222" t="str">
        <f t="shared" si="54"/>
        <v>No</v>
      </c>
      <c r="AE222" t="str">
        <f t="shared" si="55"/>
        <v>No</v>
      </c>
    </row>
    <row r="223" spans="1:31" x14ac:dyDescent="0.25">
      <c r="A223" s="227"/>
      <c r="B223" s="228"/>
      <c r="C223" s="228"/>
      <c r="D223" s="229"/>
      <c r="E223" s="229"/>
      <c r="F223" s="229"/>
      <c r="G223" s="229"/>
      <c r="H223" s="230"/>
      <c r="I223" s="229"/>
      <c r="J223" s="220"/>
      <c r="K223" s="216"/>
      <c r="L223" s="216"/>
      <c r="M223" s="217"/>
      <c r="N223" s="217"/>
      <c r="O223" s="217"/>
      <c r="P223" s="213" t="str">
        <f t="shared" si="42"/>
        <v>No</v>
      </c>
      <c r="Q223" s="148" t="str">
        <f t="shared" si="43"/>
        <v>No</v>
      </c>
      <c r="R223" t="e">
        <f>VLOOKUP(F223, Property!A:B, 2,0)</f>
        <v>#N/A</v>
      </c>
      <c r="T223">
        <f t="shared" si="44"/>
        <v>0</v>
      </c>
      <c r="U223">
        <f t="shared" si="45"/>
        <v>0</v>
      </c>
      <c r="V223">
        <f t="shared" si="46"/>
        <v>0</v>
      </c>
      <c r="W223">
        <f t="shared" si="47"/>
        <v>0</v>
      </c>
      <c r="X223">
        <f t="shared" si="48"/>
        <v>0</v>
      </c>
      <c r="Y223">
        <f t="shared" si="49"/>
        <v>0</v>
      </c>
      <c r="Z223" s="150" t="str">
        <f t="shared" si="50"/>
        <v>No</v>
      </c>
      <c r="AA223" s="150" t="str">
        <f t="shared" si="51"/>
        <v>No</v>
      </c>
      <c r="AB223">
        <f t="shared" si="52"/>
        <v>0</v>
      </c>
      <c r="AC223">
        <f t="shared" si="53"/>
        <v>0</v>
      </c>
      <c r="AD223" t="str">
        <f t="shared" si="54"/>
        <v>No</v>
      </c>
      <c r="AE223" t="str">
        <f t="shared" si="55"/>
        <v>No</v>
      </c>
    </row>
    <row r="224" spans="1:31" x14ac:dyDescent="0.25">
      <c r="A224" s="227"/>
      <c r="B224" s="228"/>
      <c r="C224" s="228"/>
      <c r="D224" s="229"/>
      <c r="E224" s="229"/>
      <c r="F224" s="229"/>
      <c r="G224" s="229"/>
      <c r="H224" s="229"/>
      <c r="I224" s="229"/>
      <c r="J224" s="220"/>
      <c r="K224" s="216"/>
      <c r="L224" s="216"/>
      <c r="M224" s="217"/>
      <c r="N224" s="217"/>
      <c r="O224" s="217"/>
      <c r="P224" s="213" t="str">
        <f t="shared" si="42"/>
        <v>No</v>
      </c>
      <c r="Q224" s="148" t="str">
        <f t="shared" si="43"/>
        <v>No</v>
      </c>
      <c r="R224" t="e">
        <f>VLOOKUP(F224, Property!A:B, 2,0)</f>
        <v>#N/A</v>
      </c>
      <c r="T224">
        <f t="shared" si="44"/>
        <v>0</v>
      </c>
      <c r="U224">
        <f t="shared" si="45"/>
        <v>0</v>
      </c>
      <c r="V224">
        <f t="shared" si="46"/>
        <v>0</v>
      </c>
      <c r="W224">
        <f t="shared" si="47"/>
        <v>0</v>
      </c>
      <c r="X224">
        <f t="shared" si="48"/>
        <v>0</v>
      </c>
      <c r="Y224">
        <f t="shared" si="49"/>
        <v>0</v>
      </c>
      <c r="Z224" s="150" t="str">
        <f t="shared" si="50"/>
        <v>No</v>
      </c>
      <c r="AA224" s="150" t="str">
        <f t="shared" si="51"/>
        <v>No</v>
      </c>
      <c r="AB224">
        <f t="shared" si="52"/>
        <v>0</v>
      </c>
      <c r="AC224">
        <f t="shared" si="53"/>
        <v>0</v>
      </c>
      <c r="AD224" t="str">
        <f t="shared" si="54"/>
        <v>No</v>
      </c>
      <c r="AE224" t="str">
        <f t="shared" si="55"/>
        <v>No</v>
      </c>
    </row>
    <row r="225" spans="1:31" x14ac:dyDescent="0.25">
      <c r="A225" s="227"/>
      <c r="B225" s="228"/>
      <c r="C225" s="228"/>
      <c r="D225" s="229"/>
      <c r="E225" s="229"/>
      <c r="F225" s="229"/>
      <c r="G225" s="229"/>
      <c r="H225" s="230"/>
      <c r="I225" s="229"/>
      <c r="J225" s="220"/>
      <c r="K225" s="216"/>
      <c r="L225" s="216"/>
      <c r="M225" s="217"/>
      <c r="N225" s="217"/>
      <c r="O225" s="217"/>
      <c r="P225" s="213" t="str">
        <f t="shared" si="42"/>
        <v>No</v>
      </c>
      <c r="Q225" s="148" t="str">
        <f t="shared" si="43"/>
        <v>No</v>
      </c>
      <c r="R225" t="e">
        <f>VLOOKUP(F225, Property!A:B, 2,0)</f>
        <v>#N/A</v>
      </c>
      <c r="T225">
        <f t="shared" si="44"/>
        <v>0</v>
      </c>
      <c r="U225">
        <f t="shared" si="45"/>
        <v>0</v>
      </c>
      <c r="V225">
        <f t="shared" si="46"/>
        <v>0</v>
      </c>
      <c r="W225">
        <f t="shared" si="47"/>
        <v>0</v>
      </c>
      <c r="X225">
        <f t="shared" si="48"/>
        <v>0</v>
      </c>
      <c r="Y225">
        <f t="shared" si="49"/>
        <v>0</v>
      </c>
      <c r="Z225" s="150" t="str">
        <f t="shared" si="50"/>
        <v>No</v>
      </c>
      <c r="AA225" s="150" t="str">
        <f t="shared" si="51"/>
        <v>No</v>
      </c>
      <c r="AB225">
        <f t="shared" si="52"/>
        <v>0</v>
      </c>
      <c r="AC225">
        <f t="shared" si="53"/>
        <v>0</v>
      </c>
      <c r="AD225" t="str">
        <f t="shared" si="54"/>
        <v>No</v>
      </c>
      <c r="AE225" t="str">
        <f t="shared" si="55"/>
        <v>No</v>
      </c>
    </row>
    <row r="226" spans="1:31" x14ac:dyDescent="0.25">
      <c r="A226" s="227"/>
      <c r="B226" s="228"/>
      <c r="C226" s="228"/>
      <c r="D226" s="229"/>
      <c r="E226" s="229"/>
      <c r="F226" s="229"/>
      <c r="G226" s="229"/>
      <c r="H226" s="230"/>
      <c r="I226" s="229"/>
      <c r="J226" s="220"/>
      <c r="K226" s="216"/>
      <c r="L226" s="216"/>
      <c r="M226" s="217"/>
      <c r="N226" s="217"/>
      <c r="O226" s="217"/>
      <c r="P226" s="213" t="str">
        <f t="shared" si="42"/>
        <v>No</v>
      </c>
      <c r="Q226" s="148" t="str">
        <f t="shared" si="43"/>
        <v>No</v>
      </c>
      <c r="R226" t="e">
        <f>VLOOKUP(F226, Property!A:B, 2,0)</f>
        <v>#N/A</v>
      </c>
      <c r="T226">
        <f t="shared" si="44"/>
        <v>0</v>
      </c>
      <c r="U226">
        <f t="shared" si="45"/>
        <v>0</v>
      </c>
      <c r="V226">
        <f t="shared" si="46"/>
        <v>0</v>
      </c>
      <c r="W226">
        <f t="shared" si="47"/>
        <v>0</v>
      </c>
      <c r="X226">
        <f t="shared" si="48"/>
        <v>0</v>
      </c>
      <c r="Y226">
        <f t="shared" si="49"/>
        <v>0</v>
      </c>
      <c r="Z226" s="150" t="str">
        <f t="shared" si="50"/>
        <v>No</v>
      </c>
      <c r="AA226" s="150" t="str">
        <f t="shared" si="51"/>
        <v>No</v>
      </c>
      <c r="AB226">
        <f t="shared" si="52"/>
        <v>0</v>
      </c>
      <c r="AC226">
        <f t="shared" si="53"/>
        <v>0</v>
      </c>
      <c r="AD226" t="str">
        <f t="shared" si="54"/>
        <v>No</v>
      </c>
      <c r="AE226" t="str">
        <f t="shared" si="55"/>
        <v>No</v>
      </c>
    </row>
    <row r="227" spans="1:31" x14ac:dyDescent="0.25">
      <c r="A227" s="227"/>
      <c r="B227" s="228"/>
      <c r="C227" s="228"/>
      <c r="D227" s="229"/>
      <c r="E227" s="229"/>
      <c r="F227" s="229"/>
      <c r="G227" s="229"/>
      <c r="H227" s="230"/>
      <c r="I227" s="229"/>
      <c r="J227" s="220"/>
      <c r="K227" s="216"/>
      <c r="L227" s="216"/>
      <c r="M227" s="217"/>
      <c r="N227" s="217"/>
      <c r="O227" s="217"/>
      <c r="P227" s="213" t="str">
        <f t="shared" si="42"/>
        <v>No</v>
      </c>
      <c r="Q227" s="148" t="str">
        <f t="shared" si="43"/>
        <v>No</v>
      </c>
      <c r="R227" t="e">
        <f>VLOOKUP(F227, Property!A:B, 2,0)</f>
        <v>#N/A</v>
      </c>
      <c r="T227">
        <f t="shared" si="44"/>
        <v>0</v>
      </c>
      <c r="U227">
        <f t="shared" si="45"/>
        <v>0</v>
      </c>
      <c r="V227">
        <f t="shared" si="46"/>
        <v>0</v>
      </c>
      <c r="W227">
        <f t="shared" si="47"/>
        <v>0</v>
      </c>
      <c r="X227">
        <f t="shared" si="48"/>
        <v>0</v>
      </c>
      <c r="Y227">
        <f t="shared" si="49"/>
        <v>0</v>
      </c>
      <c r="Z227" s="150" t="str">
        <f t="shared" si="50"/>
        <v>No</v>
      </c>
      <c r="AA227" s="150" t="str">
        <f t="shared" si="51"/>
        <v>No</v>
      </c>
      <c r="AB227">
        <f t="shared" si="52"/>
        <v>0</v>
      </c>
      <c r="AC227">
        <f t="shared" si="53"/>
        <v>0</v>
      </c>
      <c r="AD227" t="str">
        <f t="shared" si="54"/>
        <v>No</v>
      </c>
      <c r="AE227" t="str">
        <f t="shared" si="55"/>
        <v>No</v>
      </c>
    </row>
    <row r="228" spans="1:31" x14ac:dyDescent="0.25">
      <c r="A228" s="227"/>
      <c r="B228" s="228"/>
      <c r="C228" s="228"/>
      <c r="D228" s="229"/>
      <c r="E228" s="229"/>
      <c r="F228" s="229"/>
      <c r="G228" s="229"/>
      <c r="H228" s="230"/>
      <c r="I228" s="229"/>
      <c r="J228" s="220"/>
      <c r="K228" s="216"/>
      <c r="L228" s="216"/>
      <c r="M228" s="216"/>
      <c r="N228" s="217"/>
      <c r="O228" s="217"/>
      <c r="P228" s="213" t="str">
        <f t="shared" si="42"/>
        <v>No</v>
      </c>
      <c r="Q228" s="148" t="str">
        <f t="shared" si="43"/>
        <v>No</v>
      </c>
      <c r="R228" t="e">
        <f>VLOOKUP(F228, Property!A:B, 2,0)</f>
        <v>#N/A</v>
      </c>
      <c r="T228">
        <f t="shared" si="44"/>
        <v>0</v>
      </c>
      <c r="U228">
        <f t="shared" si="45"/>
        <v>0</v>
      </c>
      <c r="V228">
        <f t="shared" si="46"/>
        <v>0</v>
      </c>
      <c r="W228">
        <f t="shared" si="47"/>
        <v>0</v>
      </c>
      <c r="X228">
        <f t="shared" si="48"/>
        <v>0</v>
      </c>
      <c r="Y228">
        <f t="shared" si="49"/>
        <v>0</v>
      </c>
      <c r="Z228" s="150" t="str">
        <f t="shared" si="50"/>
        <v>No</v>
      </c>
      <c r="AA228" s="150" t="str">
        <f t="shared" si="51"/>
        <v>No</v>
      </c>
      <c r="AB228">
        <f t="shared" si="52"/>
        <v>0</v>
      </c>
      <c r="AC228">
        <f t="shared" si="53"/>
        <v>0</v>
      </c>
      <c r="AD228" t="str">
        <f t="shared" si="54"/>
        <v>No</v>
      </c>
      <c r="AE228" t="str">
        <f t="shared" si="55"/>
        <v>No</v>
      </c>
    </row>
    <row r="229" spans="1:31" x14ac:dyDescent="0.25">
      <c r="A229" s="227"/>
      <c r="B229" s="228"/>
      <c r="C229" s="228"/>
      <c r="D229" s="229"/>
      <c r="E229" s="229"/>
      <c r="F229" s="229"/>
      <c r="G229" s="229"/>
      <c r="H229" s="230"/>
      <c r="I229" s="229"/>
      <c r="J229" s="220"/>
      <c r="K229" s="216"/>
      <c r="L229" s="216"/>
      <c r="M229" s="216"/>
      <c r="N229" s="217"/>
      <c r="O229" s="217"/>
      <c r="P229" s="213" t="str">
        <f t="shared" si="42"/>
        <v>No</v>
      </c>
      <c r="Q229" s="148" t="str">
        <f t="shared" si="43"/>
        <v>No</v>
      </c>
      <c r="R229" t="e">
        <f>VLOOKUP(F229, Property!A:B, 2,0)</f>
        <v>#N/A</v>
      </c>
      <c r="T229">
        <f t="shared" si="44"/>
        <v>0</v>
      </c>
      <c r="U229">
        <f t="shared" si="45"/>
        <v>0</v>
      </c>
      <c r="V229">
        <f t="shared" si="46"/>
        <v>0</v>
      </c>
      <c r="W229">
        <f t="shared" si="47"/>
        <v>0</v>
      </c>
      <c r="X229">
        <f t="shared" si="48"/>
        <v>0</v>
      </c>
      <c r="Y229">
        <f t="shared" si="49"/>
        <v>0</v>
      </c>
      <c r="Z229" s="150" t="str">
        <f t="shared" si="50"/>
        <v>No</v>
      </c>
      <c r="AA229" s="150" t="str">
        <f t="shared" si="51"/>
        <v>No</v>
      </c>
      <c r="AB229">
        <f t="shared" si="52"/>
        <v>0</v>
      </c>
      <c r="AC229">
        <f t="shared" si="53"/>
        <v>0</v>
      </c>
      <c r="AD229" t="str">
        <f t="shared" si="54"/>
        <v>No</v>
      </c>
      <c r="AE229" t="str">
        <f t="shared" si="55"/>
        <v>No</v>
      </c>
    </row>
    <row r="230" spans="1:31" x14ac:dyDescent="0.25">
      <c r="A230" s="227"/>
      <c r="B230" s="228"/>
      <c r="C230" s="228"/>
      <c r="D230" s="229"/>
      <c r="E230" s="229"/>
      <c r="F230" s="229"/>
      <c r="G230" s="229"/>
      <c r="H230" s="230"/>
      <c r="I230" s="229"/>
      <c r="J230" s="220"/>
      <c r="K230" s="216"/>
      <c r="L230" s="216"/>
      <c r="M230" s="216"/>
      <c r="N230" s="217"/>
      <c r="O230" s="217"/>
      <c r="P230" s="213" t="str">
        <f t="shared" si="42"/>
        <v>No</v>
      </c>
      <c r="Q230" s="148" t="str">
        <f t="shared" si="43"/>
        <v>No</v>
      </c>
      <c r="R230" t="e">
        <f>VLOOKUP(F230, Property!A:B, 2,0)</f>
        <v>#N/A</v>
      </c>
      <c r="T230">
        <f t="shared" si="44"/>
        <v>0</v>
      </c>
      <c r="U230">
        <f t="shared" si="45"/>
        <v>0</v>
      </c>
      <c r="V230">
        <f t="shared" si="46"/>
        <v>0</v>
      </c>
      <c r="W230">
        <f t="shared" si="47"/>
        <v>0</v>
      </c>
      <c r="X230">
        <f t="shared" si="48"/>
        <v>0</v>
      </c>
      <c r="Y230">
        <f t="shared" si="49"/>
        <v>0</v>
      </c>
      <c r="Z230" s="150" t="str">
        <f t="shared" si="50"/>
        <v>No</v>
      </c>
      <c r="AA230" s="150" t="str">
        <f t="shared" si="51"/>
        <v>No</v>
      </c>
      <c r="AB230">
        <f t="shared" si="52"/>
        <v>0</v>
      </c>
      <c r="AC230">
        <f t="shared" si="53"/>
        <v>0</v>
      </c>
      <c r="AD230" t="str">
        <f t="shared" si="54"/>
        <v>No</v>
      </c>
      <c r="AE230" t="str">
        <f t="shared" si="55"/>
        <v>No</v>
      </c>
    </row>
    <row r="231" spans="1:31" x14ac:dyDescent="0.25">
      <c r="A231" s="227"/>
      <c r="B231" s="228"/>
      <c r="C231" s="228"/>
      <c r="D231" s="229"/>
      <c r="E231" s="229"/>
      <c r="F231" s="229"/>
      <c r="G231" s="229"/>
      <c r="H231" s="230"/>
      <c r="I231" s="229"/>
      <c r="J231" s="220"/>
      <c r="K231" s="216"/>
      <c r="L231" s="216"/>
      <c r="M231" s="217"/>
      <c r="N231" s="217"/>
      <c r="O231" s="217"/>
      <c r="P231" s="213" t="str">
        <f t="shared" si="42"/>
        <v>No</v>
      </c>
      <c r="Q231" s="148" t="str">
        <f t="shared" si="43"/>
        <v>No</v>
      </c>
      <c r="R231" t="e">
        <f>VLOOKUP(F231, Property!A:B, 2,0)</f>
        <v>#N/A</v>
      </c>
      <c r="T231">
        <f t="shared" si="44"/>
        <v>0</v>
      </c>
      <c r="U231">
        <f t="shared" si="45"/>
        <v>0</v>
      </c>
      <c r="V231">
        <f t="shared" si="46"/>
        <v>0</v>
      </c>
      <c r="W231">
        <f t="shared" si="47"/>
        <v>0</v>
      </c>
      <c r="X231">
        <f t="shared" si="48"/>
        <v>0</v>
      </c>
      <c r="Y231">
        <f t="shared" si="49"/>
        <v>0</v>
      </c>
      <c r="Z231" s="150" t="str">
        <f t="shared" si="50"/>
        <v>No</v>
      </c>
      <c r="AA231" s="150" t="str">
        <f t="shared" si="51"/>
        <v>No</v>
      </c>
      <c r="AB231">
        <f t="shared" si="52"/>
        <v>0</v>
      </c>
      <c r="AC231">
        <f t="shared" si="53"/>
        <v>0</v>
      </c>
      <c r="AD231" t="str">
        <f t="shared" si="54"/>
        <v>No</v>
      </c>
      <c r="AE231" t="str">
        <f t="shared" si="55"/>
        <v>No</v>
      </c>
    </row>
    <row r="232" spans="1:31" x14ac:dyDescent="0.25">
      <c r="A232" s="227"/>
      <c r="B232" s="228"/>
      <c r="C232" s="228"/>
      <c r="D232" s="229"/>
      <c r="E232" s="229"/>
      <c r="F232" s="229"/>
      <c r="G232" s="229"/>
      <c r="H232" s="230"/>
      <c r="I232" s="229"/>
      <c r="J232" s="220"/>
      <c r="K232" s="216"/>
      <c r="L232" s="216"/>
      <c r="M232" s="217"/>
      <c r="N232" s="217"/>
      <c r="O232" s="217"/>
      <c r="P232" s="213" t="str">
        <f t="shared" si="42"/>
        <v>No</v>
      </c>
      <c r="Q232" s="148" t="str">
        <f t="shared" si="43"/>
        <v>No</v>
      </c>
      <c r="R232" t="e">
        <f>VLOOKUP(F232, Property!A:B, 2,0)</f>
        <v>#N/A</v>
      </c>
      <c r="T232">
        <f t="shared" si="44"/>
        <v>0</v>
      </c>
      <c r="U232">
        <f t="shared" si="45"/>
        <v>0</v>
      </c>
      <c r="V232">
        <f t="shared" si="46"/>
        <v>0</v>
      </c>
      <c r="W232">
        <f t="shared" si="47"/>
        <v>0</v>
      </c>
      <c r="X232">
        <f t="shared" si="48"/>
        <v>0</v>
      </c>
      <c r="Y232">
        <f t="shared" si="49"/>
        <v>0</v>
      </c>
      <c r="Z232" s="150" t="str">
        <f t="shared" si="50"/>
        <v>No</v>
      </c>
      <c r="AA232" s="150" t="str">
        <f t="shared" si="51"/>
        <v>No</v>
      </c>
      <c r="AB232">
        <f t="shared" si="52"/>
        <v>0</v>
      </c>
      <c r="AC232">
        <f t="shared" si="53"/>
        <v>0</v>
      </c>
      <c r="AD232" t="str">
        <f t="shared" si="54"/>
        <v>No</v>
      </c>
      <c r="AE232" t="str">
        <f t="shared" si="55"/>
        <v>No</v>
      </c>
    </row>
    <row r="233" spans="1:31" x14ac:dyDescent="0.25">
      <c r="A233" s="227"/>
      <c r="B233" s="228"/>
      <c r="C233" s="228"/>
      <c r="D233" s="229"/>
      <c r="E233" s="229"/>
      <c r="F233" s="229"/>
      <c r="G233" s="229"/>
      <c r="H233" s="230"/>
      <c r="I233" s="229"/>
      <c r="J233" s="220"/>
      <c r="K233" s="216"/>
      <c r="L233" s="216"/>
      <c r="M233" s="216"/>
      <c r="N233" s="217"/>
      <c r="O233" s="217"/>
      <c r="P233" s="213" t="str">
        <f t="shared" si="42"/>
        <v>No</v>
      </c>
      <c r="Q233" s="148" t="str">
        <f t="shared" si="43"/>
        <v>No</v>
      </c>
      <c r="R233" t="e">
        <f>VLOOKUP(F233, Property!A:B, 2,0)</f>
        <v>#N/A</v>
      </c>
      <c r="T233">
        <f t="shared" si="44"/>
        <v>0</v>
      </c>
      <c r="U233">
        <f t="shared" si="45"/>
        <v>0</v>
      </c>
      <c r="V233">
        <f t="shared" si="46"/>
        <v>0</v>
      </c>
      <c r="W233">
        <f t="shared" si="47"/>
        <v>0</v>
      </c>
      <c r="X233">
        <f t="shared" si="48"/>
        <v>0</v>
      </c>
      <c r="Y233">
        <f t="shared" si="49"/>
        <v>0</v>
      </c>
      <c r="Z233" s="150" t="str">
        <f t="shared" si="50"/>
        <v>No</v>
      </c>
      <c r="AA233" s="150" t="str">
        <f t="shared" si="51"/>
        <v>No</v>
      </c>
      <c r="AB233">
        <f t="shared" si="52"/>
        <v>0</v>
      </c>
      <c r="AC233">
        <f t="shared" si="53"/>
        <v>0</v>
      </c>
      <c r="AD233" t="str">
        <f t="shared" si="54"/>
        <v>No</v>
      </c>
      <c r="AE233" t="str">
        <f t="shared" si="55"/>
        <v>No</v>
      </c>
    </row>
    <row r="234" spans="1:31" x14ac:dyDescent="0.25">
      <c r="A234" s="227"/>
      <c r="B234" s="228"/>
      <c r="C234" s="228"/>
      <c r="D234" s="229"/>
      <c r="E234" s="229"/>
      <c r="F234" s="229"/>
      <c r="G234" s="229"/>
      <c r="H234" s="230"/>
      <c r="I234" s="229"/>
      <c r="J234" s="220"/>
      <c r="K234" s="216"/>
      <c r="L234" s="216"/>
      <c r="M234" s="217"/>
      <c r="N234" s="217"/>
      <c r="O234" s="217"/>
      <c r="P234" s="213" t="str">
        <f t="shared" si="42"/>
        <v>No</v>
      </c>
      <c r="Q234" s="148" t="str">
        <f t="shared" si="43"/>
        <v>No</v>
      </c>
      <c r="R234" t="e">
        <f>VLOOKUP(F234, Property!A:B, 2,0)</f>
        <v>#N/A</v>
      </c>
      <c r="T234">
        <f t="shared" si="44"/>
        <v>0</v>
      </c>
      <c r="U234">
        <f t="shared" si="45"/>
        <v>0</v>
      </c>
      <c r="V234">
        <f t="shared" si="46"/>
        <v>0</v>
      </c>
      <c r="W234">
        <f t="shared" si="47"/>
        <v>0</v>
      </c>
      <c r="X234">
        <f t="shared" si="48"/>
        <v>0</v>
      </c>
      <c r="Y234">
        <f t="shared" si="49"/>
        <v>0</v>
      </c>
      <c r="Z234" s="150" t="str">
        <f t="shared" si="50"/>
        <v>No</v>
      </c>
      <c r="AA234" s="150" t="str">
        <f t="shared" si="51"/>
        <v>No</v>
      </c>
      <c r="AB234">
        <f t="shared" si="52"/>
        <v>0</v>
      </c>
      <c r="AC234">
        <f t="shared" si="53"/>
        <v>0</v>
      </c>
      <c r="AD234" t="str">
        <f t="shared" si="54"/>
        <v>No</v>
      </c>
      <c r="AE234" t="str">
        <f t="shared" si="55"/>
        <v>No</v>
      </c>
    </row>
    <row r="235" spans="1:31" x14ac:dyDescent="0.25">
      <c r="A235" s="227"/>
      <c r="B235" s="228"/>
      <c r="C235" s="228"/>
      <c r="D235" s="229"/>
      <c r="E235" s="229"/>
      <c r="F235" s="229"/>
      <c r="G235" s="229"/>
      <c r="H235" s="230"/>
      <c r="I235" s="229"/>
      <c r="J235" s="220"/>
      <c r="K235" s="216"/>
      <c r="L235" s="216"/>
      <c r="M235" s="217"/>
      <c r="N235" s="217"/>
      <c r="O235" s="217"/>
      <c r="P235" s="213" t="str">
        <f t="shared" si="42"/>
        <v>No</v>
      </c>
      <c r="Q235" s="148" t="str">
        <f t="shared" si="43"/>
        <v>No</v>
      </c>
      <c r="R235" t="e">
        <f>VLOOKUP(F235, Property!A:B, 2,0)</f>
        <v>#N/A</v>
      </c>
      <c r="T235">
        <f t="shared" si="44"/>
        <v>0</v>
      </c>
      <c r="U235">
        <f t="shared" si="45"/>
        <v>0</v>
      </c>
      <c r="V235">
        <f t="shared" si="46"/>
        <v>0</v>
      </c>
      <c r="W235">
        <f t="shared" si="47"/>
        <v>0</v>
      </c>
      <c r="X235">
        <f t="shared" si="48"/>
        <v>0</v>
      </c>
      <c r="Y235">
        <f t="shared" si="49"/>
        <v>0</v>
      </c>
      <c r="Z235" s="150" t="str">
        <f t="shared" si="50"/>
        <v>No</v>
      </c>
      <c r="AA235" s="150" t="str">
        <f t="shared" si="51"/>
        <v>No</v>
      </c>
      <c r="AB235">
        <f t="shared" si="52"/>
        <v>0</v>
      </c>
      <c r="AC235">
        <f t="shared" si="53"/>
        <v>0</v>
      </c>
      <c r="AD235" t="str">
        <f t="shared" si="54"/>
        <v>No</v>
      </c>
      <c r="AE235" t="str">
        <f t="shared" si="55"/>
        <v>No</v>
      </c>
    </row>
    <row r="236" spans="1:31" x14ac:dyDescent="0.25">
      <c r="A236" s="227"/>
      <c r="B236" s="228"/>
      <c r="C236" s="228"/>
      <c r="D236" s="229"/>
      <c r="E236" s="229"/>
      <c r="F236" s="229"/>
      <c r="G236" s="229"/>
      <c r="H236" s="230"/>
      <c r="I236" s="229"/>
      <c r="J236" s="220"/>
      <c r="K236" s="216"/>
      <c r="L236" s="216"/>
      <c r="M236" s="217"/>
      <c r="N236" s="217"/>
      <c r="O236" s="217"/>
      <c r="P236" s="213" t="str">
        <f t="shared" si="42"/>
        <v>No</v>
      </c>
      <c r="Q236" s="148" t="str">
        <f t="shared" si="43"/>
        <v>No</v>
      </c>
      <c r="R236" t="e">
        <f>VLOOKUP(F236, Property!A:B, 2,0)</f>
        <v>#N/A</v>
      </c>
      <c r="T236">
        <f t="shared" si="44"/>
        <v>0</v>
      </c>
      <c r="U236">
        <f t="shared" si="45"/>
        <v>0</v>
      </c>
      <c r="V236">
        <f t="shared" si="46"/>
        <v>0</v>
      </c>
      <c r="W236">
        <f t="shared" si="47"/>
        <v>0</v>
      </c>
      <c r="X236">
        <f t="shared" si="48"/>
        <v>0</v>
      </c>
      <c r="Y236">
        <f t="shared" si="49"/>
        <v>0</v>
      </c>
      <c r="Z236" s="150" t="str">
        <f t="shared" si="50"/>
        <v>No</v>
      </c>
      <c r="AA236" s="150" t="str">
        <f t="shared" si="51"/>
        <v>No</v>
      </c>
      <c r="AB236">
        <f t="shared" si="52"/>
        <v>0</v>
      </c>
      <c r="AC236">
        <f t="shared" si="53"/>
        <v>0</v>
      </c>
      <c r="AD236" t="str">
        <f t="shared" si="54"/>
        <v>No</v>
      </c>
      <c r="AE236" t="str">
        <f t="shared" si="55"/>
        <v>No</v>
      </c>
    </row>
    <row r="237" spans="1:31" x14ac:dyDescent="0.25">
      <c r="A237" s="227"/>
      <c r="B237" s="228"/>
      <c r="C237" s="228"/>
      <c r="D237" s="229"/>
      <c r="E237" s="229"/>
      <c r="F237" s="229"/>
      <c r="G237" s="229"/>
      <c r="H237" s="230"/>
      <c r="I237" s="229"/>
      <c r="J237" s="220"/>
      <c r="K237" s="216"/>
      <c r="L237" s="216"/>
      <c r="M237" s="217"/>
      <c r="N237" s="217"/>
      <c r="O237" s="217"/>
      <c r="P237" s="213" t="str">
        <f t="shared" si="42"/>
        <v>No</v>
      </c>
      <c r="Q237" s="148" t="str">
        <f t="shared" si="43"/>
        <v>No</v>
      </c>
      <c r="R237" t="e">
        <f>VLOOKUP(F237, Property!A:B, 2,0)</f>
        <v>#N/A</v>
      </c>
      <c r="T237">
        <f t="shared" si="44"/>
        <v>0</v>
      </c>
      <c r="U237">
        <f t="shared" si="45"/>
        <v>0</v>
      </c>
      <c r="V237">
        <f t="shared" si="46"/>
        <v>0</v>
      </c>
      <c r="W237">
        <f t="shared" si="47"/>
        <v>0</v>
      </c>
      <c r="X237">
        <f t="shared" si="48"/>
        <v>0</v>
      </c>
      <c r="Y237">
        <f t="shared" si="49"/>
        <v>0</v>
      </c>
      <c r="Z237" s="150" t="str">
        <f t="shared" si="50"/>
        <v>No</v>
      </c>
      <c r="AA237" s="150" t="str">
        <f t="shared" si="51"/>
        <v>No</v>
      </c>
      <c r="AB237">
        <f t="shared" si="52"/>
        <v>0</v>
      </c>
      <c r="AC237">
        <f t="shared" si="53"/>
        <v>0</v>
      </c>
      <c r="AD237" t="str">
        <f t="shared" si="54"/>
        <v>No</v>
      </c>
      <c r="AE237" t="str">
        <f t="shared" si="55"/>
        <v>No</v>
      </c>
    </row>
    <row r="238" spans="1:31" x14ac:dyDescent="0.25">
      <c r="A238" s="227"/>
      <c r="B238" s="228"/>
      <c r="C238" s="228"/>
      <c r="D238" s="229"/>
      <c r="E238" s="229"/>
      <c r="F238" s="229"/>
      <c r="G238" s="229"/>
      <c r="H238" s="230"/>
      <c r="I238" s="229"/>
      <c r="J238" s="220"/>
      <c r="K238" s="216"/>
      <c r="L238" s="216"/>
      <c r="M238" s="217"/>
      <c r="N238" s="217"/>
      <c r="O238" s="217"/>
      <c r="P238" s="213" t="str">
        <f t="shared" si="42"/>
        <v>No</v>
      </c>
      <c r="Q238" s="148" t="str">
        <f t="shared" si="43"/>
        <v>No</v>
      </c>
      <c r="R238" t="e">
        <f>VLOOKUP(F238, Property!A:B, 2,0)</f>
        <v>#N/A</v>
      </c>
      <c r="T238">
        <f t="shared" si="44"/>
        <v>0</v>
      </c>
      <c r="U238">
        <f t="shared" si="45"/>
        <v>0</v>
      </c>
      <c r="V238">
        <f t="shared" si="46"/>
        <v>0</v>
      </c>
      <c r="W238">
        <f t="shared" si="47"/>
        <v>0</v>
      </c>
      <c r="X238">
        <f t="shared" si="48"/>
        <v>0</v>
      </c>
      <c r="Y238">
        <f t="shared" si="49"/>
        <v>0</v>
      </c>
      <c r="Z238" s="150" t="str">
        <f t="shared" si="50"/>
        <v>No</v>
      </c>
      <c r="AA238" s="150" t="str">
        <f t="shared" si="51"/>
        <v>No</v>
      </c>
      <c r="AB238">
        <f t="shared" si="52"/>
        <v>0</v>
      </c>
      <c r="AC238">
        <f t="shared" si="53"/>
        <v>0</v>
      </c>
      <c r="AD238" t="str">
        <f t="shared" si="54"/>
        <v>No</v>
      </c>
      <c r="AE238" t="str">
        <f t="shared" si="55"/>
        <v>No</v>
      </c>
    </row>
    <row r="239" spans="1:31" x14ac:dyDescent="0.25">
      <c r="A239" s="227"/>
      <c r="B239" s="228"/>
      <c r="C239" s="228"/>
      <c r="D239" s="229"/>
      <c r="E239" s="229"/>
      <c r="F239" s="229"/>
      <c r="G239" s="229"/>
      <c r="H239" s="230"/>
      <c r="I239" s="229"/>
      <c r="J239" s="220"/>
      <c r="K239" s="216"/>
      <c r="L239" s="216"/>
      <c r="M239" s="217"/>
      <c r="N239" s="217"/>
      <c r="O239" s="217"/>
      <c r="P239" s="213" t="str">
        <f t="shared" si="42"/>
        <v>No</v>
      </c>
      <c r="Q239" s="148" t="str">
        <f t="shared" si="43"/>
        <v>No</v>
      </c>
      <c r="R239" t="e">
        <f>VLOOKUP(F239, Property!A:B, 2,0)</f>
        <v>#N/A</v>
      </c>
      <c r="T239">
        <f t="shared" si="44"/>
        <v>0</v>
      </c>
      <c r="U239">
        <f t="shared" si="45"/>
        <v>0</v>
      </c>
      <c r="V239">
        <f t="shared" si="46"/>
        <v>0</v>
      </c>
      <c r="W239">
        <f t="shared" si="47"/>
        <v>0</v>
      </c>
      <c r="X239">
        <f t="shared" si="48"/>
        <v>0</v>
      </c>
      <c r="Y239">
        <f t="shared" si="49"/>
        <v>0</v>
      </c>
      <c r="Z239" s="150" t="str">
        <f t="shared" si="50"/>
        <v>No</v>
      </c>
      <c r="AA239" s="150" t="str">
        <f t="shared" si="51"/>
        <v>No</v>
      </c>
      <c r="AB239">
        <f t="shared" si="52"/>
        <v>0</v>
      </c>
      <c r="AC239">
        <f t="shared" si="53"/>
        <v>0</v>
      </c>
      <c r="AD239" t="str">
        <f t="shared" si="54"/>
        <v>No</v>
      </c>
      <c r="AE239" t="str">
        <f t="shared" si="55"/>
        <v>No</v>
      </c>
    </row>
    <row r="240" spans="1:31" x14ac:dyDescent="0.25">
      <c r="A240" s="227"/>
      <c r="B240" s="228"/>
      <c r="C240" s="228"/>
      <c r="D240" s="229"/>
      <c r="E240" s="229"/>
      <c r="F240" s="229"/>
      <c r="G240" s="229"/>
      <c r="H240" s="230"/>
      <c r="I240" s="229"/>
      <c r="J240" s="220"/>
      <c r="K240" s="216"/>
      <c r="L240" s="216"/>
      <c r="M240" s="217"/>
      <c r="N240" s="217"/>
      <c r="O240" s="217"/>
      <c r="P240" s="213" t="str">
        <f t="shared" si="42"/>
        <v>No</v>
      </c>
      <c r="Q240" s="148" t="str">
        <f t="shared" si="43"/>
        <v>No</v>
      </c>
      <c r="R240" t="e">
        <f>VLOOKUP(F240, Property!A:B, 2,0)</f>
        <v>#N/A</v>
      </c>
      <c r="T240">
        <f t="shared" si="44"/>
        <v>0</v>
      </c>
      <c r="U240">
        <f t="shared" si="45"/>
        <v>0</v>
      </c>
      <c r="V240">
        <f t="shared" si="46"/>
        <v>0</v>
      </c>
      <c r="W240">
        <f t="shared" si="47"/>
        <v>0</v>
      </c>
      <c r="X240">
        <f t="shared" si="48"/>
        <v>0</v>
      </c>
      <c r="Y240">
        <f t="shared" si="49"/>
        <v>0</v>
      </c>
      <c r="Z240" s="150" t="str">
        <f t="shared" si="50"/>
        <v>No</v>
      </c>
      <c r="AA240" s="150" t="str">
        <f t="shared" si="51"/>
        <v>No</v>
      </c>
      <c r="AB240">
        <f t="shared" si="52"/>
        <v>0</v>
      </c>
      <c r="AC240">
        <f t="shared" si="53"/>
        <v>0</v>
      </c>
      <c r="AD240" t="str">
        <f t="shared" si="54"/>
        <v>No</v>
      </c>
      <c r="AE240" t="str">
        <f t="shared" si="55"/>
        <v>No</v>
      </c>
    </row>
    <row r="241" spans="1:31" x14ac:dyDescent="0.25">
      <c r="A241" s="227"/>
      <c r="B241" s="228"/>
      <c r="C241" s="228"/>
      <c r="D241" s="229"/>
      <c r="E241" s="229"/>
      <c r="F241" s="229"/>
      <c r="G241" s="229"/>
      <c r="H241" s="230"/>
      <c r="I241" s="229"/>
      <c r="J241" s="220"/>
      <c r="K241" s="216"/>
      <c r="L241" s="216"/>
      <c r="M241" s="217"/>
      <c r="N241" s="217"/>
      <c r="O241" s="217"/>
      <c r="P241" s="213" t="str">
        <f t="shared" si="42"/>
        <v>No</v>
      </c>
      <c r="Q241" s="148" t="str">
        <f t="shared" si="43"/>
        <v>No</v>
      </c>
      <c r="R241" t="e">
        <f>VLOOKUP(F241, Property!A:B, 2,0)</f>
        <v>#N/A</v>
      </c>
      <c r="T241">
        <f t="shared" si="44"/>
        <v>0</v>
      </c>
      <c r="U241">
        <f t="shared" si="45"/>
        <v>0</v>
      </c>
      <c r="V241">
        <f t="shared" si="46"/>
        <v>0</v>
      </c>
      <c r="W241">
        <f t="shared" si="47"/>
        <v>0</v>
      </c>
      <c r="X241">
        <f t="shared" si="48"/>
        <v>0</v>
      </c>
      <c r="Y241">
        <f t="shared" si="49"/>
        <v>0</v>
      </c>
      <c r="Z241" s="150" t="str">
        <f t="shared" si="50"/>
        <v>No</v>
      </c>
      <c r="AA241" s="150" t="str">
        <f t="shared" si="51"/>
        <v>No</v>
      </c>
      <c r="AB241">
        <f t="shared" si="52"/>
        <v>0</v>
      </c>
      <c r="AC241">
        <f t="shared" si="53"/>
        <v>0</v>
      </c>
      <c r="AD241" t="str">
        <f t="shared" si="54"/>
        <v>No</v>
      </c>
      <c r="AE241" t="str">
        <f t="shared" si="55"/>
        <v>No</v>
      </c>
    </row>
    <row r="242" spans="1:31" x14ac:dyDescent="0.25">
      <c r="A242" s="227"/>
      <c r="B242" s="228"/>
      <c r="C242" s="228"/>
      <c r="D242" s="229"/>
      <c r="E242" s="229"/>
      <c r="F242" s="229"/>
      <c r="G242" s="229"/>
      <c r="H242" s="230"/>
      <c r="I242" s="229"/>
      <c r="J242" s="220"/>
      <c r="K242" s="216"/>
      <c r="L242" s="216"/>
      <c r="M242" s="217"/>
      <c r="N242" s="217"/>
      <c r="O242" s="217"/>
      <c r="P242" s="213" t="str">
        <f t="shared" si="42"/>
        <v>No</v>
      </c>
      <c r="Q242" s="148" t="str">
        <f t="shared" si="43"/>
        <v>No</v>
      </c>
      <c r="R242" t="e">
        <f>VLOOKUP(F242, Property!A:B, 2,0)</f>
        <v>#N/A</v>
      </c>
      <c r="T242">
        <f t="shared" si="44"/>
        <v>0</v>
      </c>
      <c r="U242">
        <f t="shared" si="45"/>
        <v>0</v>
      </c>
      <c r="V242">
        <f t="shared" si="46"/>
        <v>0</v>
      </c>
      <c r="W242">
        <f t="shared" si="47"/>
        <v>0</v>
      </c>
      <c r="X242">
        <f t="shared" si="48"/>
        <v>0</v>
      </c>
      <c r="Y242">
        <f t="shared" si="49"/>
        <v>0</v>
      </c>
      <c r="Z242" s="150" t="str">
        <f t="shared" si="50"/>
        <v>No</v>
      </c>
      <c r="AA242" s="150" t="str">
        <f t="shared" si="51"/>
        <v>No</v>
      </c>
      <c r="AB242">
        <f t="shared" si="52"/>
        <v>0</v>
      </c>
      <c r="AC242">
        <f t="shared" si="53"/>
        <v>0</v>
      </c>
      <c r="AD242" t="str">
        <f t="shared" si="54"/>
        <v>No</v>
      </c>
      <c r="AE242" t="str">
        <f t="shared" si="55"/>
        <v>No</v>
      </c>
    </row>
    <row r="243" spans="1:31" x14ac:dyDescent="0.25">
      <c r="A243" s="227"/>
      <c r="B243" s="228"/>
      <c r="C243" s="228"/>
      <c r="D243" s="229"/>
      <c r="E243" s="229"/>
      <c r="F243" s="229"/>
      <c r="G243" s="229"/>
      <c r="H243" s="230"/>
      <c r="I243" s="229"/>
      <c r="J243" s="220"/>
      <c r="K243" s="216"/>
      <c r="L243" s="216"/>
      <c r="M243" s="217"/>
      <c r="N243" s="217"/>
      <c r="O243" s="217"/>
      <c r="P243" s="213" t="str">
        <f t="shared" si="42"/>
        <v>No</v>
      </c>
      <c r="Q243" s="148" t="str">
        <f t="shared" si="43"/>
        <v>No</v>
      </c>
      <c r="R243" t="e">
        <f>VLOOKUP(F243, Property!A:B, 2,0)</f>
        <v>#N/A</v>
      </c>
      <c r="T243">
        <f t="shared" si="44"/>
        <v>0</v>
      </c>
      <c r="U243">
        <f t="shared" si="45"/>
        <v>0</v>
      </c>
      <c r="V243">
        <f t="shared" si="46"/>
        <v>0</v>
      </c>
      <c r="W243">
        <f t="shared" si="47"/>
        <v>0</v>
      </c>
      <c r="X243">
        <f t="shared" si="48"/>
        <v>0</v>
      </c>
      <c r="Y243">
        <f t="shared" si="49"/>
        <v>0</v>
      </c>
      <c r="Z243" s="150" t="str">
        <f t="shared" si="50"/>
        <v>No</v>
      </c>
      <c r="AA243" s="150" t="str">
        <f t="shared" si="51"/>
        <v>No</v>
      </c>
      <c r="AB243">
        <f t="shared" si="52"/>
        <v>0</v>
      </c>
      <c r="AC243">
        <f t="shared" si="53"/>
        <v>0</v>
      </c>
      <c r="AD243" t="str">
        <f t="shared" si="54"/>
        <v>No</v>
      </c>
      <c r="AE243" t="str">
        <f t="shared" si="55"/>
        <v>No</v>
      </c>
    </row>
    <row r="244" spans="1:31" x14ac:dyDescent="0.25">
      <c r="A244" s="227"/>
      <c r="B244" s="228"/>
      <c r="C244" s="228"/>
      <c r="D244" s="229"/>
      <c r="E244" s="229"/>
      <c r="F244" s="229"/>
      <c r="G244" s="229"/>
      <c r="H244" s="230"/>
      <c r="I244" s="229"/>
      <c r="J244" s="220"/>
      <c r="K244" s="216"/>
      <c r="L244" s="216"/>
      <c r="M244" s="217"/>
      <c r="N244" s="217"/>
      <c r="O244" s="217"/>
      <c r="P244" s="213" t="str">
        <f t="shared" si="42"/>
        <v>No</v>
      </c>
      <c r="Q244" s="148" t="str">
        <f t="shared" si="43"/>
        <v>No</v>
      </c>
      <c r="R244" t="e">
        <f>VLOOKUP(F244, Property!A:B, 2,0)</f>
        <v>#N/A</v>
      </c>
      <c r="T244">
        <f t="shared" si="44"/>
        <v>0</v>
      </c>
      <c r="U244">
        <f t="shared" si="45"/>
        <v>0</v>
      </c>
      <c r="V244">
        <f t="shared" si="46"/>
        <v>0</v>
      </c>
      <c r="W244">
        <f t="shared" si="47"/>
        <v>0</v>
      </c>
      <c r="X244">
        <f t="shared" si="48"/>
        <v>0</v>
      </c>
      <c r="Y244">
        <f t="shared" si="49"/>
        <v>0</v>
      </c>
      <c r="Z244" s="150" t="str">
        <f t="shared" si="50"/>
        <v>No</v>
      </c>
      <c r="AA244" s="150" t="str">
        <f t="shared" si="51"/>
        <v>No</v>
      </c>
      <c r="AB244">
        <f t="shared" si="52"/>
        <v>0</v>
      </c>
      <c r="AC244">
        <f t="shared" si="53"/>
        <v>0</v>
      </c>
      <c r="AD244" t="str">
        <f t="shared" si="54"/>
        <v>No</v>
      </c>
      <c r="AE244" t="str">
        <f t="shared" si="55"/>
        <v>No</v>
      </c>
    </row>
    <row r="245" spans="1:31" x14ac:dyDescent="0.25">
      <c r="A245" s="227"/>
      <c r="B245" s="228"/>
      <c r="C245" s="228"/>
      <c r="D245" s="229"/>
      <c r="E245" s="229"/>
      <c r="F245" s="229"/>
      <c r="G245" s="229"/>
      <c r="H245" s="230"/>
      <c r="I245" s="229"/>
      <c r="J245" s="220"/>
      <c r="K245" s="216"/>
      <c r="L245" s="216"/>
      <c r="M245" s="217"/>
      <c r="N245" s="217"/>
      <c r="O245" s="217"/>
      <c r="P245" s="213" t="str">
        <f t="shared" si="42"/>
        <v>No</v>
      </c>
      <c r="Q245" s="148" t="str">
        <f t="shared" si="43"/>
        <v>No</v>
      </c>
      <c r="R245" t="e">
        <f>VLOOKUP(F245, Property!A:B, 2,0)</f>
        <v>#N/A</v>
      </c>
      <c r="T245">
        <f t="shared" si="44"/>
        <v>0</v>
      </c>
      <c r="U245">
        <f t="shared" si="45"/>
        <v>0</v>
      </c>
      <c r="V245">
        <f t="shared" si="46"/>
        <v>0</v>
      </c>
      <c r="W245">
        <f t="shared" si="47"/>
        <v>0</v>
      </c>
      <c r="X245">
        <f t="shared" si="48"/>
        <v>0</v>
      </c>
      <c r="Y245">
        <f t="shared" si="49"/>
        <v>0</v>
      </c>
      <c r="Z245" s="150" t="str">
        <f t="shared" si="50"/>
        <v>No</v>
      </c>
      <c r="AA245" s="150" t="str">
        <f t="shared" si="51"/>
        <v>No</v>
      </c>
      <c r="AB245">
        <f t="shared" si="52"/>
        <v>0</v>
      </c>
      <c r="AC245">
        <f t="shared" si="53"/>
        <v>0</v>
      </c>
      <c r="AD245" t="str">
        <f t="shared" si="54"/>
        <v>No</v>
      </c>
      <c r="AE245" t="str">
        <f t="shared" si="55"/>
        <v>No</v>
      </c>
    </row>
    <row r="246" spans="1:31" x14ac:dyDescent="0.25">
      <c r="A246" s="227"/>
      <c r="B246" s="228"/>
      <c r="C246" s="228"/>
      <c r="D246" s="229"/>
      <c r="E246" s="229"/>
      <c r="F246" s="229"/>
      <c r="G246" s="229"/>
      <c r="H246" s="230"/>
      <c r="I246" s="229"/>
      <c r="J246" s="220"/>
      <c r="K246" s="216"/>
      <c r="L246" s="216"/>
      <c r="M246" s="217"/>
      <c r="N246" s="217"/>
      <c r="O246" s="217"/>
      <c r="P246" s="213" t="str">
        <f t="shared" si="42"/>
        <v>No</v>
      </c>
      <c r="Q246" s="148" t="str">
        <f t="shared" si="43"/>
        <v>No</v>
      </c>
      <c r="R246" t="e">
        <f>VLOOKUP(F246, Property!A:B, 2,0)</f>
        <v>#N/A</v>
      </c>
      <c r="T246">
        <f t="shared" si="44"/>
        <v>0</v>
      </c>
      <c r="U246">
        <f t="shared" si="45"/>
        <v>0</v>
      </c>
      <c r="V246">
        <f t="shared" si="46"/>
        <v>0</v>
      </c>
      <c r="W246">
        <f t="shared" si="47"/>
        <v>0</v>
      </c>
      <c r="X246">
        <f t="shared" si="48"/>
        <v>0</v>
      </c>
      <c r="Y246">
        <f t="shared" si="49"/>
        <v>0</v>
      </c>
      <c r="Z246" s="150" t="str">
        <f t="shared" si="50"/>
        <v>No</v>
      </c>
      <c r="AA246" s="150" t="str">
        <f t="shared" si="51"/>
        <v>No</v>
      </c>
      <c r="AB246">
        <f t="shared" si="52"/>
        <v>0</v>
      </c>
      <c r="AC246">
        <f t="shared" si="53"/>
        <v>0</v>
      </c>
      <c r="AD246" t="str">
        <f t="shared" si="54"/>
        <v>No</v>
      </c>
      <c r="AE246" t="str">
        <f t="shared" si="55"/>
        <v>No</v>
      </c>
    </row>
    <row r="247" spans="1:31" x14ac:dyDescent="0.25">
      <c r="A247" s="227"/>
      <c r="B247" s="228"/>
      <c r="C247" s="228"/>
      <c r="D247" s="229"/>
      <c r="E247" s="229"/>
      <c r="F247" s="229"/>
      <c r="G247" s="229"/>
      <c r="H247" s="230"/>
      <c r="I247" s="229"/>
      <c r="J247" s="220"/>
      <c r="K247" s="216"/>
      <c r="L247" s="216"/>
      <c r="M247" s="217"/>
      <c r="N247" s="217"/>
      <c r="O247" s="217"/>
      <c r="P247" s="213" t="str">
        <f t="shared" si="42"/>
        <v>No</v>
      </c>
      <c r="Q247" s="148" t="str">
        <f t="shared" si="43"/>
        <v>No</v>
      </c>
      <c r="R247" t="e">
        <f>VLOOKUP(F247, Property!A:B, 2,0)</f>
        <v>#N/A</v>
      </c>
      <c r="T247">
        <f t="shared" si="44"/>
        <v>0</v>
      </c>
      <c r="U247">
        <f t="shared" si="45"/>
        <v>0</v>
      </c>
      <c r="V247">
        <f t="shared" si="46"/>
        <v>0</v>
      </c>
      <c r="W247">
        <f t="shared" si="47"/>
        <v>0</v>
      </c>
      <c r="X247">
        <f t="shared" si="48"/>
        <v>0</v>
      </c>
      <c r="Y247">
        <f t="shared" si="49"/>
        <v>0</v>
      </c>
      <c r="Z247" s="150" t="str">
        <f t="shared" si="50"/>
        <v>No</v>
      </c>
      <c r="AA247" s="150" t="str">
        <f t="shared" si="51"/>
        <v>No</v>
      </c>
      <c r="AB247">
        <f t="shared" si="52"/>
        <v>0</v>
      </c>
      <c r="AC247">
        <f t="shared" si="53"/>
        <v>0</v>
      </c>
      <c r="AD247" t="str">
        <f t="shared" si="54"/>
        <v>No</v>
      </c>
      <c r="AE247" t="str">
        <f t="shared" si="55"/>
        <v>No</v>
      </c>
    </row>
    <row r="248" spans="1:31" x14ac:dyDescent="0.25">
      <c r="A248" s="227"/>
      <c r="B248" s="228"/>
      <c r="C248" s="228"/>
      <c r="D248" s="229"/>
      <c r="E248" s="229"/>
      <c r="F248" s="229"/>
      <c r="G248" s="229"/>
      <c r="H248" s="230"/>
      <c r="I248" s="229"/>
      <c r="J248" s="220"/>
      <c r="K248" s="216"/>
      <c r="L248" s="216"/>
      <c r="M248" s="217"/>
      <c r="N248" s="217"/>
      <c r="O248" s="217"/>
      <c r="P248" s="213" t="str">
        <f t="shared" si="42"/>
        <v>No</v>
      </c>
      <c r="Q248" s="148" t="str">
        <f t="shared" si="43"/>
        <v>No</v>
      </c>
      <c r="R248" t="e">
        <f>VLOOKUP(F248, Property!A:B, 2,0)</f>
        <v>#N/A</v>
      </c>
      <c r="T248">
        <f t="shared" si="44"/>
        <v>0</v>
      </c>
      <c r="U248">
        <f t="shared" si="45"/>
        <v>0</v>
      </c>
      <c r="V248">
        <f t="shared" si="46"/>
        <v>0</v>
      </c>
      <c r="W248">
        <f t="shared" si="47"/>
        <v>0</v>
      </c>
      <c r="X248">
        <f t="shared" si="48"/>
        <v>0</v>
      </c>
      <c r="Y248">
        <f t="shared" si="49"/>
        <v>0</v>
      </c>
      <c r="Z248" s="150" t="str">
        <f t="shared" si="50"/>
        <v>No</v>
      </c>
      <c r="AA248" s="150" t="str">
        <f t="shared" si="51"/>
        <v>No</v>
      </c>
      <c r="AB248">
        <f t="shared" si="52"/>
        <v>0</v>
      </c>
      <c r="AC248">
        <f t="shared" si="53"/>
        <v>0</v>
      </c>
      <c r="AD248" t="str">
        <f t="shared" si="54"/>
        <v>No</v>
      </c>
      <c r="AE248" t="str">
        <f t="shared" si="55"/>
        <v>No</v>
      </c>
    </row>
    <row r="249" spans="1:31" x14ac:dyDescent="0.25">
      <c r="A249" s="227"/>
      <c r="B249" s="228"/>
      <c r="C249" s="228"/>
      <c r="D249" s="229"/>
      <c r="E249" s="229"/>
      <c r="F249" s="229"/>
      <c r="G249" s="229"/>
      <c r="H249" s="230"/>
      <c r="I249" s="229"/>
      <c r="J249" s="220"/>
      <c r="K249" s="216"/>
      <c r="L249" s="216"/>
      <c r="M249" s="217"/>
      <c r="N249" s="217"/>
      <c r="O249" s="217"/>
      <c r="P249" s="213" t="str">
        <f t="shared" si="42"/>
        <v>No</v>
      </c>
      <c r="Q249" s="148" t="str">
        <f t="shared" si="43"/>
        <v>No</v>
      </c>
      <c r="R249" t="e">
        <f>VLOOKUP(F249, Property!A:B, 2,0)</f>
        <v>#N/A</v>
      </c>
      <c r="T249">
        <f t="shared" si="44"/>
        <v>0</v>
      </c>
      <c r="U249">
        <f t="shared" si="45"/>
        <v>0</v>
      </c>
      <c r="V249">
        <f t="shared" si="46"/>
        <v>0</v>
      </c>
      <c r="W249">
        <f t="shared" si="47"/>
        <v>0</v>
      </c>
      <c r="X249">
        <f t="shared" si="48"/>
        <v>0</v>
      </c>
      <c r="Y249">
        <f t="shared" si="49"/>
        <v>0</v>
      </c>
      <c r="Z249" s="150" t="str">
        <f t="shared" si="50"/>
        <v>No</v>
      </c>
      <c r="AA249" s="150" t="str">
        <f t="shared" si="51"/>
        <v>No</v>
      </c>
      <c r="AB249">
        <f t="shared" si="52"/>
        <v>0</v>
      </c>
      <c r="AC249">
        <f t="shared" si="53"/>
        <v>0</v>
      </c>
      <c r="AD249" t="str">
        <f t="shared" si="54"/>
        <v>No</v>
      </c>
      <c r="AE249" t="str">
        <f t="shared" si="55"/>
        <v>No</v>
      </c>
    </row>
    <row r="250" spans="1:31" x14ac:dyDescent="0.25">
      <c r="A250" s="227"/>
      <c r="B250" s="228"/>
      <c r="C250" s="228"/>
      <c r="D250" s="229"/>
      <c r="E250" s="229"/>
      <c r="F250" s="229"/>
      <c r="G250" s="229"/>
      <c r="H250" s="230"/>
      <c r="I250" s="229"/>
      <c r="J250" s="220"/>
      <c r="K250" s="216"/>
      <c r="L250" s="216"/>
      <c r="M250" s="217"/>
      <c r="N250" s="217"/>
      <c r="O250" s="217"/>
      <c r="P250" s="213" t="str">
        <f t="shared" si="42"/>
        <v>No</v>
      </c>
      <c r="Q250" s="148" t="str">
        <f t="shared" si="43"/>
        <v>No</v>
      </c>
      <c r="R250" t="e">
        <f>VLOOKUP(F250, Property!A:B, 2,0)</f>
        <v>#N/A</v>
      </c>
      <c r="T250">
        <f t="shared" si="44"/>
        <v>0</v>
      </c>
      <c r="U250">
        <f t="shared" si="45"/>
        <v>0</v>
      </c>
      <c r="V250">
        <f t="shared" si="46"/>
        <v>0</v>
      </c>
      <c r="W250">
        <f t="shared" si="47"/>
        <v>0</v>
      </c>
      <c r="X250">
        <f t="shared" si="48"/>
        <v>0</v>
      </c>
      <c r="Y250">
        <f t="shared" si="49"/>
        <v>0</v>
      </c>
      <c r="Z250" s="150" t="str">
        <f t="shared" si="50"/>
        <v>No</v>
      </c>
      <c r="AA250" s="150" t="str">
        <f t="shared" si="51"/>
        <v>No</v>
      </c>
      <c r="AB250">
        <f t="shared" si="52"/>
        <v>0</v>
      </c>
      <c r="AC250">
        <f t="shared" si="53"/>
        <v>0</v>
      </c>
      <c r="AD250" t="str">
        <f t="shared" si="54"/>
        <v>No</v>
      </c>
      <c r="AE250" t="str">
        <f t="shared" si="55"/>
        <v>No</v>
      </c>
    </row>
    <row r="251" spans="1:31" x14ac:dyDescent="0.25">
      <c r="A251" s="227"/>
      <c r="B251" s="228"/>
      <c r="C251" s="228"/>
      <c r="D251" s="229"/>
      <c r="E251" s="229"/>
      <c r="F251" s="229"/>
      <c r="G251" s="229"/>
      <c r="H251" s="230"/>
      <c r="I251" s="229"/>
      <c r="J251" s="220"/>
      <c r="K251" s="216"/>
      <c r="L251" s="216"/>
      <c r="M251" s="217"/>
      <c r="N251" s="217"/>
      <c r="O251" s="217"/>
      <c r="P251" s="213" t="str">
        <f t="shared" si="42"/>
        <v>No</v>
      </c>
      <c r="Q251" s="148" t="str">
        <f t="shared" si="43"/>
        <v>No</v>
      </c>
      <c r="R251" t="e">
        <f>VLOOKUP(F251, Property!A:B, 2,0)</f>
        <v>#N/A</v>
      </c>
      <c r="T251">
        <f t="shared" si="44"/>
        <v>0</v>
      </c>
      <c r="U251">
        <f t="shared" si="45"/>
        <v>0</v>
      </c>
      <c r="V251">
        <f t="shared" si="46"/>
        <v>0</v>
      </c>
      <c r="W251">
        <f t="shared" si="47"/>
        <v>0</v>
      </c>
      <c r="X251">
        <f t="shared" si="48"/>
        <v>0</v>
      </c>
      <c r="Y251">
        <f t="shared" si="49"/>
        <v>0</v>
      </c>
      <c r="Z251" s="150" t="str">
        <f t="shared" si="50"/>
        <v>No</v>
      </c>
      <c r="AA251" s="150" t="str">
        <f t="shared" si="51"/>
        <v>No</v>
      </c>
      <c r="AB251">
        <f t="shared" si="52"/>
        <v>0</v>
      </c>
      <c r="AC251">
        <f t="shared" si="53"/>
        <v>0</v>
      </c>
      <c r="AD251" t="str">
        <f t="shared" si="54"/>
        <v>No</v>
      </c>
      <c r="AE251" t="str">
        <f t="shared" si="55"/>
        <v>No</v>
      </c>
    </row>
    <row r="252" spans="1:31" x14ac:dyDescent="0.25">
      <c r="A252" s="227"/>
      <c r="B252" s="228"/>
      <c r="C252" s="228"/>
      <c r="D252" s="229"/>
      <c r="E252" s="229"/>
      <c r="F252" s="229"/>
      <c r="G252" s="229"/>
      <c r="H252" s="230"/>
      <c r="I252" s="229"/>
      <c r="J252" s="220"/>
      <c r="K252" s="216"/>
      <c r="L252" s="216"/>
      <c r="M252" s="217"/>
      <c r="N252" s="217"/>
      <c r="O252" s="217"/>
      <c r="P252" s="213" t="str">
        <f t="shared" si="42"/>
        <v>No</v>
      </c>
      <c r="Q252" s="148" t="str">
        <f t="shared" si="43"/>
        <v>No</v>
      </c>
      <c r="R252" t="e">
        <f>VLOOKUP(F252, Property!A:B, 2,0)</f>
        <v>#N/A</v>
      </c>
      <c r="T252">
        <f t="shared" si="44"/>
        <v>0</v>
      </c>
      <c r="U252">
        <f t="shared" si="45"/>
        <v>0</v>
      </c>
      <c r="V252">
        <f t="shared" si="46"/>
        <v>0</v>
      </c>
      <c r="W252">
        <f t="shared" si="47"/>
        <v>0</v>
      </c>
      <c r="X252">
        <f t="shared" si="48"/>
        <v>0</v>
      </c>
      <c r="Y252">
        <f t="shared" si="49"/>
        <v>0</v>
      </c>
      <c r="Z252" s="150" t="str">
        <f t="shared" si="50"/>
        <v>No</v>
      </c>
      <c r="AA252" s="150" t="str">
        <f t="shared" si="51"/>
        <v>No</v>
      </c>
      <c r="AB252">
        <f t="shared" si="52"/>
        <v>0</v>
      </c>
      <c r="AC252">
        <f t="shared" si="53"/>
        <v>0</v>
      </c>
      <c r="AD252" t="str">
        <f t="shared" si="54"/>
        <v>No</v>
      </c>
      <c r="AE252" t="str">
        <f t="shared" si="55"/>
        <v>No</v>
      </c>
    </row>
    <row r="253" spans="1:31" x14ac:dyDescent="0.25">
      <c r="A253" s="227"/>
      <c r="B253" s="228"/>
      <c r="C253" s="228"/>
      <c r="D253" s="229"/>
      <c r="E253" s="229"/>
      <c r="F253" s="229"/>
      <c r="G253" s="229"/>
      <c r="H253" s="230"/>
      <c r="I253" s="229"/>
      <c r="J253" s="220"/>
      <c r="K253" s="216"/>
      <c r="L253" s="216"/>
      <c r="M253" s="217"/>
      <c r="N253" s="217"/>
      <c r="O253" s="217"/>
      <c r="P253" s="213" t="str">
        <f t="shared" si="42"/>
        <v>No</v>
      </c>
      <c r="Q253" s="148" t="str">
        <f t="shared" si="43"/>
        <v>No</v>
      </c>
      <c r="R253" t="e">
        <f>VLOOKUP(F253, Property!A:B, 2,0)</f>
        <v>#N/A</v>
      </c>
      <c r="T253">
        <f t="shared" si="44"/>
        <v>0</v>
      </c>
      <c r="U253">
        <f t="shared" si="45"/>
        <v>0</v>
      </c>
      <c r="V253">
        <f t="shared" si="46"/>
        <v>0</v>
      </c>
      <c r="W253">
        <f t="shared" si="47"/>
        <v>0</v>
      </c>
      <c r="X253">
        <f t="shared" si="48"/>
        <v>0</v>
      </c>
      <c r="Y253">
        <f t="shared" si="49"/>
        <v>0</v>
      </c>
      <c r="Z253" s="150" t="str">
        <f t="shared" si="50"/>
        <v>No</v>
      </c>
      <c r="AA253" s="150" t="str">
        <f t="shared" si="51"/>
        <v>No</v>
      </c>
      <c r="AB253">
        <f t="shared" si="52"/>
        <v>0</v>
      </c>
      <c r="AC253">
        <f t="shared" si="53"/>
        <v>0</v>
      </c>
      <c r="AD253" t="str">
        <f t="shared" si="54"/>
        <v>No</v>
      </c>
      <c r="AE253" t="str">
        <f t="shared" si="55"/>
        <v>No</v>
      </c>
    </row>
    <row r="254" spans="1:31" x14ac:dyDescent="0.25">
      <c r="A254" s="227"/>
      <c r="B254" s="228"/>
      <c r="C254" s="228"/>
      <c r="D254" s="229"/>
      <c r="E254" s="229"/>
      <c r="F254" s="229"/>
      <c r="G254" s="229"/>
      <c r="H254" s="230"/>
      <c r="I254" s="229"/>
      <c r="J254" s="220"/>
      <c r="K254" s="216"/>
      <c r="L254" s="216"/>
      <c r="M254" s="217"/>
      <c r="N254" s="217"/>
      <c r="O254" s="217"/>
      <c r="P254" s="213" t="str">
        <f t="shared" si="42"/>
        <v>No</v>
      </c>
      <c r="Q254" s="148" t="str">
        <f t="shared" si="43"/>
        <v>No</v>
      </c>
      <c r="R254" t="e">
        <f>VLOOKUP(F254, Property!A:B, 2,0)</f>
        <v>#N/A</v>
      </c>
      <c r="T254">
        <f t="shared" si="44"/>
        <v>0</v>
      </c>
      <c r="U254">
        <f t="shared" si="45"/>
        <v>0</v>
      </c>
      <c r="V254">
        <f t="shared" si="46"/>
        <v>0</v>
      </c>
      <c r="W254">
        <f t="shared" si="47"/>
        <v>0</v>
      </c>
      <c r="X254">
        <f t="shared" si="48"/>
        <v>0</v>
      </c>
      <c r="Y254">
        <f t="shared" si="49"/>
        <v>0</v>
      </c>
      <c r="Z254" s="150" t="str">
        <f t="shared" si="50"/>
        <v>No</v>
      </c>
      <c r="AA254" s="150" t="str">
        <f t="shared" si="51"/>
        <v>No</v>
      </c>
      <c r="AB254">
        <f t="shared" si="52"/>
        <v>0</v>
      </c>
      <c r="AC254">
        <f t="shared" si="53"/>
        <v>0</v>
      </c>
      <c r="AD254" t="str">
        <f t="shared" si="54"/>
        <v>No</v>
      </c>
      <c r="AE254" t="str">
        <f t="shared" si="55"/>
        <v>No</v>
      </c>
    </row>
    <row r="255" spans="1:31" x14ac:dyDescent="0.25">
      <c r="A255" s="227"/>
      <c r="B255" s="228"/>
      <c r="C255" s="228"/>
      <c r="D255" s="229"/>
      <c r="E255" s="229"/>
      <c r="F255" s="229"/>
      <c r="G255" s="229"/>
      <c r="H255" s="230"/>
      <c r="I255" s="229"/>
      <c r="J255" s="220"/>
      <c r="K255" s="216"/>
      <c r="L255" s="216"/>
      <c r="M255" s="217"/>
      <c r="N255" s="217"/>
      <c r="O255" s="217"/>
      <c r="P255" s="213" t="str">
        <f t="shared" si="42"/>
        <v>No</v>
      </c>
      <c r="Q255" s="148" t="str">
        <f t="shared" si="43"/>
        <v>No</v>
      </c>
      <c r="R255" t="e">
        <f>VLOOKUP(F255, Property!A:B, 2,0)</f>
        <v>#N/A</v>
      </c>
      <c r="T255">
        <f t="shared" si="44"/>
        <v>0</v>
      </c>
      <c r="U255">
        <f t="shared" si="45"/>
        <v>0</v>
      </c>
      <c r="V255">
        <f t="shared" si="46"/>
        <v>0</v>
      </c>
      <c r="W255">
        <f t="shared" si="47"/>
        <v>0</v>
      </c>
      <c r="X255">
        <f t="shared" si="48"/>
        <v>0</v>
      </c>
      <c r="Y255">
        <f t="shared" si="49"/>
        <v>0</v>
      </c>
      <c r="Z255" s="150" t="str">
        <f t="shared" si="50"/>
        <v>No</v>
      </c>
      <c r="AA255" s="150" t="str">
        <f t="shared" si="51"/>
        <v>No</v>
      </c>
      <c r="AB255">
        <f t="shared" si="52"/>
        <v>0</v>
      </c>
      <c r="AC255">
        <f t="shared" si="53"/>
        <v>0</v>
      </c>
      <c r="AD255" t="str">
        <f t="shared" si="54"/>
        <v>No</v>
      </c>
      <c r="AE255" t="str">
        <f t="shared" si="55"/>
        <v>No</v>
      </c>
    </row>
    <row r="256" spans="1:31" x14ac:dyDescent="0.25">
      <c r="A256" s="227"/>
      <c r="B256" s="228"/>
      <c r="C256" s="228"/>
      <c r="D256" s="229"/>
      <c r="E256" s="229"/>
      <c r="F256" s="229"/>
      <c r="G256" s="229"/>
      <c r="H256" s="230"/>
      <c r="I256" s="229"/>
      <c r="J256" s="220"/>
      <c r="K256" s="216"/>
      <c r="L256" s="216"/>
      <c r="M256" s="217"/>
      <c r="N256" s="217"/>
      <c r="O256" s="217"/>
      <c r="P256" s="213" t="str">
        <f t="shared" si="42"/>
        <v>No</v>
      </c>
      <c r="Q256" s="148" t="str">
        <f t="shared" si="43"/>
        <v>No</v>
      </c>
      <c r="R256" t="e">
        <f>VLOOKUP(F256, Property!A:B, 2,0)</f>
        <v>#N/A</v>
      </c>
      <c r="T256">
        <f t="shared" si="44"/>
        <v>0</v>
      </c>
      <c r="U256">
        <f t="shared" si="45"/>
        <v>0</v>
      </c>
      <c r="V256">
        <f t="shared" si="46"/>
        <v>0</v>
      </c>
      <c r="W256">
        <f t="shared" si="47"/>
        <v>0</v>
      </c>
      <c r="X256">
        <f t="shared" si="48"/>
        <v>0</v>
      </c>
      <c r="Y256">
        <f t="shared" si="49"/>
        <v>0</v>
      </c>
      <c r="Z256" s="150" t="str">
        <f t="shared" si="50"/>
        <v>No</v>
      </c>
      <c r="AA256" s="150" t="str">
        <f t="shared" si="51"/>
        <v>No</v>
      </c>
      <c r="AB256">
        <f t="shared" si="52"/>
        <v>0</v>
      </c>
      <c r="AC256">
        <f t="shared" si="53"/>
        <v>0</v>
      </c>
      <c r="AD256" t="str">
        <f t="shared" si="54"/>
        <v>No</v>
      </c>
      <c r="AE256" t="str">
        <f t="shared" si="55"/>
        <v>No</v>
      </c>
    </row>
    <row r="257" spans="1:31" x14ac:dyDescent="0.25">
      <c r="A257" s="227"/>
      <c r="B257" s="228"/>
      <c r="C257" s="228"/>
      <c r="D257" s="229"/>
      <c r="E257" s="229"/>
      <c r="F257" s="229"/>
      <c r="G257" s="229"/>
      <c r="H257" s="230"/>
      <c r="I257" s="229"/>
      <c r="J257" s="220"/>
      <c r="K257" s="216"/>
      <c r="L257" s="216"/>
      <c r="M257" s="217"/>
      <c r="N257" s="217"/>
      <c r="O257" s="217"/>
      <c r="P257" s="213" t="str">
        <f t="shared" si="42"/>
        <v>No</v>
      </c>
      <c r="Q257" s="148" t="str">
        <f t="shared" si="43"/>
        <v>No</v>
      </c>
      <c r="R257" t="e">
        <f>VLOOKUP(F257, Property!A:B, 2,0)</f>
        <v>#N/A</v>
      </c>
      <c r="T257">
        <f t="shared" si="44"/>
        <v>0</v>
      </c>
      <c r="U257">
        <f t="shared" si="45"/>
        <v>0</v>
      </c>
      <c r="V257">
        <f t="shared" si="46"/>
        <v>0</v>
      </c>
      <c r="W257">
        <f t="shared" si="47"/>
        <v>0</v>
      </c>
      <c r="X257">
        <f t="shared" si="48"/>
        <v>0</v>
      </c>
      <c r="Y257">
        <f t="shared" si="49"/>
        <v>0</v>
      </c>
      <c r="Z257" s="150" t="str">
        <f t="shared" si="50"/>
        <v>No</v>
      </c>
      <c r="AA257" s="150" t="str">
        <f t="shared" si="51"/>
        <v>No</v>
      </c>
      <c r="AB257">
        <f t="shared" si="52"/>
        <v>0</v>
      </c>
      <c r="AC257">
        <f t="shared" si="53"/>
        <v>0</v>
      </c>
      <c r="AD257" t="str">
        <f t="shared" si="54"/>
        <v>No</v>
      </c>
      <c r="AE257" t="str">
        <f t="shared" si="55"/>
        <v>No</v>
      </c>
    </row>
    <row r="258" spans="1:31" x14ac:dyDescent="0.25">
      <c r="A258" s="227"/>
      <c r="B258" s="228"/>
      <c r="C258" s="228"/>
      <c r="D258" s="229"/>
      <c r="E258" s="229"/>
      <c r="F258" s="229"/>
      <c r="G258" s="229"/>
      <c r="H258" s="230"/>
      <c r="I258" s="229"/>
      <c r="J258" s="220"/>
      <c r="K258" s="216"/>
      <c r="L258" s="216"/>
      <c r="M258" s="216"/>
      <c r="N258" s="217"/>
      <c r="O258" s="217"/>
      <c r="P258" s="213" t="str">
        <f t="shared" si="42"/>
        <v>No</v>
      </c>
      <c r="Q258" s="148" t="str">
        <f t="shared" si="43"/>
        <v>No</v>
      </c>
      <c r="R258" t="e">
        <f>VLOOKUP(F258, Property!A:B, 2,0)</f>
        <v>#N/A</v>
      </c>
      <c r="T258">
        <f t="shared" si="44"/>
        <v>0</v>
      </c>
      <c r="U258">
        <f t="shared" si="45"/>
        <v>0</v>
      </c>
      <c r="V258">
        <f t="shared" si="46"/>
        <v>0</v>
      </c>
      <c r="W258">
        <f t="shared" si="47"/>
        <v>0</v>
      </c>
      <c r="X258">
        <f t="shared" si="48"/>
        <v>0</v>
      </c>
      <c r="Y258">
        <f t="shared" si="49"/>
        <v>0</v>
      </c>
      <c r="Z258" s="150" t="str">
        <f t="shared" si="50"/>
        <v>No</v>
      </c>
      <c r="AA258" s="150" t="str">
        <f t="shared" si="51"/>
        <v>No</v>
      </c>
      <c r="AB258">
        <f t="shared" si="52"/>
        <v>0</v>
      </c>
      <c r="AC258">
        <f t="shared" si="53"/>
        <v>0</v>
      </c>
      <c r="AD258" t="str">
        <f t="shared" si="54"/>
        <v>No</v>
      </c>
      <c r="AE258" t="str">
        <f t="shared" si="55"/>
        <v>No</v>
      </c>
    </row>
    <row r="259" spans="1:31" x14ac:dyDescent="0.25">
      <c r="A259" s="227"/>
      <c r="B259" s="228"/>
      <c r="C259" s="228"/>
      <c r="D259" s="229"/>
      <c r="E259" s="229"/>
      <c r="F259" s="229"/>
      <c r="G259" s="229"/>
      <c r="H259" s="230"/>
      <c r="I259" s="229"/>
      <c r="J259" s="220"/>
      <c r="K259" s="216"/>
      <c r="L259" s="216"/>
      <c r="M259" s="217"/>
      <c r="N259" s="217"/>
      <c r="O259" s="217"/>
      <c r="P259" s="213" t="str">
        <f t="shared" ref="P259:P322" si="56">Z259</f>
        <v>No</v>
      </c>
      <c r="Q259" s="148" t="str">
        <f t="shared" ref="Q259:Q322" si="57">AA259</f>
        <v>No</v>
      </c>
      <c r="R259" t="e">
        <f>VLOOKUP(F259, Property!A:B, 2,0)</f>
        <v>#N/A</v>
      </c>
      <c r="T259">
        <f t="shared" ref="T259:T322" si="58">SUM(M259:O259)</f>
        <v>0</v>
      </c>
      <c r="U259">
        <f t="shared" ref="U259:U322" si="59">SUM(J259:L259)</f>
        <v>0</v>
      </c>
      <c r="V259">
        <f t="shared" ref="V259:V322" si="60">IF(AND(J259&gt;0, AC259=0), 1, 0)</f>
        <v>0</v>
      </c>
      <c r="W259">
        <f t="shared" ref="W259:W322" si="61">IF(AND(K259&gt;0, AC259=0), 1, 0)</f>
        <v>0</v>
      </c>
      <c r="X259">
        <f t="shared" ref="X259:X322" si="62">IF(L259&gt;0, 1, 0)</f>
        <v>0</v>
      </c>
      <c r="Y259">
        <f t="shared" ref="Y259:Y322" si="63">SUM(V259:X259)</f>
        <v>0</v>
      </c>
      <c r="Z259" s="150" t="str">
        <f t="shared" ref="Z259:Z322" si="64">IF(AND(Y259&gt;0, AB259=0), "Yes", "No")</f>
        <v>No</v>
      </c>
      <c r="AA259" s="150" t="str">
        <f t="shared" ref="AA259:AA322" si="65">IF(AND(G259&gt;0, AB259=0), "Yes", "No")</f>
        <v>No</v>
      </c>
      <c r="AB259">
        <f t="shared" ref="AB259:AB322" si="66">IF(ISNUMBER(SEARCH("Package",D259)), 1,0)</f>
        <v>0</v>
      </c>
      <c r="AC259">
        <f t="shared" ref="AC259:AC322" si="67">IF(ISNUMBER(SEARCH("Breakfast",D259)), 1,0)</f>
        <v>0</v>
      </c>
      <c r="AD259" t="str">
        <f t="shared" ref="AD259:AD322" si="68">IF(AND(P259="Yes", Z259="No"), "Yes", "No")</f>
        <v>No</v>
      </c>
      <c r="AE259" t="str">
        <f t="shared" ref="AE259:AE322" si="69">IF(AND(Q259="Yes", AA259="No"), "Yes", "No")</f>
        <v>No</v>
      </c>
    </row>
    <row r="260" spans="1:31" x14ac:dyDescent="0.25">
      <c r="A260" s="227"/>
      <c r="B260" s="228"/>
      <c r="C260" s="228"/>
      <c r="D260" s="229"/>
      <c r="E260" s="229"/>
      <c r="F260" s="229"/>
      <c r="G260" s="229"/>
      <c r="H260" s="230"/>
      <c r="I260" s="229"/>
      <c r="J260" s="220"/>
      <c r="K260" s="216"/>
      <c r="L260" s="216"/>
      <c r="M260" s="217"/>
      <c r="N260" s="217"/>
      <c r="O260" s="217"/>
      <c r="P260" s="213" t="str">
        <f t="shared" si="56"/>
        <v>No</v>
      </c>
      <c r="Q260" s="148" t="str">
        <f t="shared" si="57"/>
        <v>No</v>
      </c>
      <c r="R260" t="e">
        <f>VLOOKUP(F260, Property!A:B, 2,0)</f>
        <v>#N/A</v>
      </c>
      <c r="T260">
        <f t="shared" si="58"/>
        <v>0</v>
      </c>
      <c r="U260">
        <f t="shared" si="59"/>
        <v>0</v>
      </c>
      <c r="V260">
        <f t="shared" si="60"/>
        <v>0</v>
      </c>
      <c r="W260">
        <f t="shared" si="61"/>
        <v>0</v>
      </c>
      <c r="X260">
        <f t="shared" si="62"/>
        <v>0</v>
      </c>
      <c r="Y260">
        <f t="shared" si="63"/>
        <v>0</v>
      </c>
      <c r="Z260" s="150" t="str">
        <f t="shared" si="64"/>
        <v>No</v>
      </c>
      <c r="AA260" s="150" t="str">
        <f t="shared" si="65"/>
        <v>No</v>
      </c>
      <c r="AB260">
        <f t="shared" si="66"/>
        <v>0</v>
      </c>
      <c r="AC260">
        <f t="shared" si="67"/>
        <v>0</v>
      </c>
      <c r="AD260" t="str">
        <f t="shared" si="68"/>
        <v>No</v>
      </c>
      <c r="AE260" t="str">
        <f t="shared" si="69"/>
        <v>No</v>
      </c>
    </row>
    <row r="261" spans="1:31" x14ac:dyDescent="0.25">
      <c r="A261" s="227"/>
      <c r="B261" s="228"/>
      <c r="C261" s="228"/>
      <c r="D261" s="229"/>
      <c r="E261" s="229"/>
      <c r="F261" s="229"/>
      <c r="G261" s="229"/>
      <c r="H261" s="230"/>
      <c r="I261" s="229"/>
      <c r="J261" s="220"/>
      <c r="K261" s="216"/>
      <c r="L261" s="216"/>
      <c r="M261" s="217"/>
      <c r="N261" s="217"/>
      <c r="O261" s="217"/>
      <c r="P261" s="213" t="str">
        <f t="shared" si="56"/>
        <v>No</v>
      </c>
      <c r="Q261" s="148" t="str">
        <f t="shared" si="57"/>
        <v>No</v>
      </c>
      <c r="R261" t="e">
        <f>VLOOKUP(F261, Property!A:B, 2,0)</f>
        <v>#N/A</v>
      </c>
      <c r="T261">
        <f t="shared" si="58"/>
        <v>0</v>
      </c>
      <c r="U261">
        <f t="shared" si="59"/>
        <v>0</v>
      </c>
      <c r="V261">
        <f t="shared" si="60"/>
        <v>0</v>
      </c>
      <c r="W261">
        <f t="shared" si="61"/>
        <v>0</v>
      </c>
      <c r="X261">
        <f t="shared" si="62"/>
        <v>0</v>
      </c>
      <c r="Y261">
        <f t="shared" si="63"/>
        <v>0</v>
      </c>
      <c r="Z261" s="150" t="str">
        <f t="shared" si="64"/>
        <v>No</v>
      </c>
      <c r="AA261" s="150" t="str">
        <f t="shared" si="65"/>
        <v>No</v>
      </c>
      <c r="AB261">
        <f t="shared" si="66"/>
        <v>0</v>
      </c>
      <c r="AC261">
        <f t="shared" si="67"/>
        <v>0</v>
      </c>
      <c r="AD261" t="str">
        <f t="shared" si="68"/>
        <v>No</v>
      </c>
      <c r="AE261" t="str">
        <f t="shared" si="69"/>
        <v>No</v>
      </c>
    </row>
    <row r="262" spans="1:31" x14ac:dyDescent="0.25">
      <c r="A262" s="227"/>
      <c r="B262" s="228"/>
      <c r="C262" s="228"/>
      <c r="D262" s="229"/>
      <c r="E262" s="229"/>
      <c r="F262" s="229"/>
      <c r="G262" s="229"/>
      <c r="H262" s="230"/>
      <c r="I262" s="229"/>
      <c r="J262" s="220"/>
      <c r="K262" s="216"/>
      <c r="L262" s="216"/>
      <c r="M262" s="217"/>
      <c r="N262" s="217"/>
      <c r="O262" s="217"/>
      <c r="P262" s="213" t="str">
        <f t="shared" si="56"/>
        <v>No</v>
      </c>
      <c r="Q262" s="148" t="str">
        <f t="shared" si="57"/>
        <v>No</v>
      </c>
      <c r="R262" t="e">
        <f>VLOOKUP(F262, Property!A:B, 2,0)</f>
        <v>#N/A</v>
      </c>
      <c r="T262">
        <f t="shared" si="58"/>
        <v>0</v>
      </c>
      <c r="U262">
        <f t="shared" si="59"/>
        <v>0</v>
      </c>
      <c r="V262">
        <f t="shared" si="60"/>
        <v>0</v>
      </c>
      <c r="W262">
        <f t="shared" si="61"/>
        <v>0</v>
      </c>
      <c r="X262">
        <f t="shared" si="62"/>
        <v>0</v>
      </c>
      <c r="Y262">
        <f t="shared" si="63"/>
        <v>0</v>
      </c>
      <c r="Z262" s="150" t="str">
        <f t="shared" si="64"/>
        <v>No</v>
      </c>
      <c r="AA262" s="150" t="str">
        <f t="shared" si="65"/>
        <v>No</v>
      </c>
      <c r="AB262">
        <f t="shared" si="66"/>
        <v>0</v>
      </c>
      <c r="AC262">
        <f t="shared" si="67"/>
        <v>0</v>
      </c>
      <c r="AD262" t="str">
        <f t="shared" si="68"/>
        <v>No</v>
      </c>
      <c r="AE262" t="str">
        <f t="shared" si="69"/>
        <v>No</v>
      </c>
    </row>
    <row r="263" spans="1:31" x14ac:dyDescent="0.25">
      <c r="A263" s="227"/>
      <c r="B263" s="228"/>
      <c r="C263" s="228"/>
      <c r="D263" s="229"/>
      <c r="E263" s="229"/>
      <c r="F263" s="229"/>
      <c r="G263" s="229"/>
      <c r="H263" s="230"/>
      <c r="I263" s="229"/>
      <c r="J263" s="220"/>
      <c r="K263" s="216"/>
      <c r="L263" s="216"/>
      <c r="M263" s="217"/>
      <c r="N263" s="217"/>
      <c r="O263" s="217"/>
      <c r="P263" s="213" t="str">
        <f t="shared" si="56"/>
        <v>No</v>
      </c>
      <c r="Q263" s="148" t="str">
        <f t="shared" si="57"/>
        <v>No</v>
      </c>
      <c r="R263" t="e">
        <f>VLOOKUP(F263, Property!A:B, 2,0)</f>
        <v>#N/A</v>
      </c>
      <c r="T263">
        <f t="shared" si="58"/>
        <v>0</v>
      </c>
      <c r="U263">
        <f t="shared" si="59"/>
        <v>0</v>
      </c>
      <c r="V263">
        <f t="shared" si="60"/>
        <v>0</v>
      </c>
      <c r="W263">
        <f t="shared" si="61"/>
        <v>0</v>
      </c>
      <c r="X263">
        <f t="shared" si="62"/>
        <v>0</v>
      </c>
      <c r="Y263">
        <f t="shared" si="63"/>
        <v>0</v>
      </c>
      <c r="Z263" s="150" t="str">
        <f t="shared" si="64"/>
        <v>No</v>
      </c>
      <c r="AA263" s="150" t="str">
        <f t="shared" si="65"/>
        <v>No</v>
      </c>
      <c r="AB263">
        <f t="shared" si="66"/>
        <v>0</v>
      </c>
      <c r="AC263">
        <f t="shared" si="67"/>
        <v>0</v>
      </c>
      <c r="AD263" t="str">
        <f t="shared" si="68"/>
        <v>No</v>
      </c>
      <c r="AE263" t="str">
        <f t="shared" si="69"/>
        <v>No</v>
      </c>
    </row>
    <row r="264" spans="1:31" x14ac:dyDescent="0.25">
      <c r="A264" s="227"/>
      <c r="B264" s="228"/>
      <c r="C264" s="228"/>
      <c r="D264" s="229"/>
      <c r="E264" s="229"/>
      <c r="F264" s="229"/>
      <c r="G264" s="229"/>
      <c r="H264" s="230"/>
      <c r="I264" s="229"/>
      <c r="J264" s="220"/>
      <c r="K264" s="216"/>
      <c r="L264" s="216"/>
      <c r="M264" s="217"/>
      <c r="N264" s="217"/>
      <c r="O264" s="217"/>
      <c r="P264" s="213" t="str">
        <f t="shared" si="56"/>
        <v>No</v>
      </c>
      <c r="Q264" s="148" t="str">
        <f t="shared" si="57"/>
        <v>No</v>
      </c>
      <c r="R264" t="e">
        <f>VLOOKUP(F264, Property!A:B, 2,0)</f>
        <v>#N/A</v>
      </c>
      <c r="T264">
        <f t="shared" si="58"/>
        <v>0</v>
      </c>
      <c r="U264">
        <f t="shared" si="59"/>
        <v>0</v>
      </c>
      <c r="V264">
        <f t="shared" si="60"/>
        <v>0</v>
      </c>
      <c r="W264">
        <f t="shared" si="61"/>
        <v>0</v>
      </c>
      <c r="X264">
        <f t="shared" si="62"/>
        <v>0</v>
      </c>
      <c r="Y264">
        <f t="shared" si="63"/>
        <v>0</v>
      </c>
      <c r="Z264" s="150" t="str">
        <f t="shared" si="64"/>
        <v>No</v>
      </c>
      <c r="AA264" s="150" t="str">
        <f t="shared" si="65"/>
        <v>No</v>
      </c>
      <c r="AB264">
        <f t="shared" si="66"/>
        <v>0</v>
      </c>
      <c r="AC264">
        <f t="shared" si="67"/>
        <v>0</v>
      </c>
      <c r="AD264" t="str">
        <f t="shared" si="68"/>
        <v>No</v>
      </c>
      <c r="AE264" t="str">
        <f t="shared" si="69"/>
        <v>No</v>
      </c>
    </row>
    <row r="265" spans="1:31" x14ac:dyDescent="0.25">
      <c r="A265" s="227"/>
      <c r="B265" s="228"/>
      <c r="C265" s="228"/>
      <c r="D265" s="229"/>
      <c r="E265" s="229"/>
      <c r="F265" s="229"/>
      <c r="G265" s="229"/>
      <c r="H265" s="230"/>
      <c r="I265" s="229"/>
      <c r="J265" s="220"/>
      <c r="K265" s="216"/>
      <c r="L265" s="216"/>
      <c r="M265" s="217"/>
      <c r="N265" s="217"/>
      <c r="O265" s="217"/>
      <c r="P265" s="213" t="str">
        <f t="shared" si="56"/>
        <v>No</v>
      </c>
      <c r="Q265" s="148" t="str">
        <f t="shared" si="57"/>
        <v>No</v>
      </c>
      <c r="R265" t="e">
        <f>VLOOKUP(F265, Property!A:B, 2,0)</f>
        <v>#N/A</v>
      </c>
      <c r="T265">
        <f t="shared" si="58"/>
        <v>0</v>
      </c>
      <c r="U265">
        <f t="shared" si="59"/>
        <v>0</v>
      </c>
      <c r="V265">
        <f t="shared" si="60"/>
        <v>0</v>
      </c>
      <c r="W265">
        <f t="shared" si="61"/>
        <v>0</v>
      </c>
      <c r="X265">
        <f t="shared" si="62"/>
        <v>0</v>
      </c>
      <c r="Y265">
        <f t="shared" si="63"/>
        <v>0</v>
      </c>
      <c r="Z265" s="150" t="str">
        <f t="shared" si="64"/>
        <v>No</v>
      </c>
      <c r="AA265" s="150" t="str">
        <f t="shared" si="65"/>
        <v>No</v>
      </c>
      <c r="AB265">
        <f t="shared" si="66"/>
        <v>0</v>
      </c>
      <c r="AC265">
        <f t="shared" si="67"/>
        <v>0</v>
      </c>
      <c r="AD265" t="str">
        <f t="shared" si="68"/>
        <v>No</v>
      </c>
      <c r="AE265" t="str">
        <f t="shared" si="69"/>
        <v>No</v>
      </c>
    </row>
    <row r="266" spans="1:31" x14ac:dyDescent="0.25">
      <c r="A266" s="227"/>
      <c r="B266" s="228"/>
      <c r="C266" s="228"/>
      <c r="D266" s="229"/>
      <c r="E266" s="229"/>
      <c r="F266" s="229"/>
      <c r="G266" s="229"/>
      <c r="H266" s="230"/>
      <c r="I266" s="229"/>
      <c r="J266" s="220"/>
      <c r="K266" s="216"/>
      <c r="L266" s="216"/>
      <c r="M266" s="217"/>
      <c r="N266" s="217"/>
      <c r="O266" s="217"/>
      <c r="P266" s="213" t="str">
        <f t="shared" si="56"/>
        <v>No</v>
      </c>
      <c r="Q266" s="148" t="str">
        <f t="shared" si="57"/>
        <v>No</v>
      </c>
      <c r="R266" t="e">
        <f>VLOOKUP(F266, Property!A:B, 2,0)</f>
        <v>#N/A</v>
      </c>
      <c r="T266">
        <f t="shared" si="58"/>
        <v>0</v>
      </c>
      <c r="U266">
        <f t="shared" si="59"/>
        <v>0</v>
      </c>
      <c r="V266">
        <f t="shared" si="60"/>
        <v>0</v>
      </c>
      <c r="W266">
        <f t="shared" si="61"/>
        <v>0</v>
      </c>
      <c r="X266">
        <f t="shared" si="62"/>
        <v>0</v>
      </c>
      <c r="Y266">
        <f t="shared" si="63"/>
        <v>0</v>
      </c>
      <c r="Z266" s="150" t="str">
        <f t="shared" si="64"/>
        <v>No</v>
      </c>
      <c r="AA266" s="150" t="str">
        <f t="shared" si="65"/>
        <v>No</v>
      </c>
      <c r="AB266">
        <f t="shared" si="66"/>
        <v>0</v>
      </c>
      <c r="AC266">
        <f t="shared" si="67"/>
        <v>0</v>
      </c>
      <c r="AD266" t="str">
        <f t="shared" si="68"/>
        <v>No</v>
      </c>
      <c r="AE266" t="str">
        <f t="shared" si="69"/>
        <v>No</v>
      </c>
    </row>
    <row r="267" spans="1:31" x14ac:dyDescent="0.25">
      <c r="A267" s="227"/>
      <c r="B267" s="228"/>
      <c r="C267" s="228"/>
      <c r="D267" s="229"/>
      <c r="E267" s="229"/>
      <c r="F267" s="229"/>
      <c r="G267" s="229"/>
      <c r="H267" s="230"/>
      <c r="I267" s="229"/>
      <c r="J267" s="220"/>
      <c r="K267" s="216"/>
      <c r="L267" s="216"/>
      <c r="M267" s="217"/>
      <c r="N267" s="217"/>
      <c r="O267" s="217"/>
      <c r="P267" s="213" t="str">
        <f t="shared" si="56"/>
        <v>No</v>
      </c>
      <c r="Q267" s="148" t="str">
        <f t="shared" si="57"/>
        <v>No</v>
      </c>
      <c r="R267" t="e">
        <f>VLOOKUP(F267, Property!A:B, 2,0)</f>
        <v>#N/A</v>
      </c>
      <c r="T267">
        <f t="shared" si="58"/>
        <v>0</v>
      </c>
      <c r="U267">
        <f t="shared" si="59"/>
        <v>0</v>
      </c>
      <c r="V267">
        <f t="shared" si="60"/>
        <v>0</v>
      </c>
      <c r="W267">
        <f t="shared" si="61"/>
        <v>0</v>
      </c>
      <c r="X267">
        <f t="shared" si="62"/>
        <v>0</v>
      </c>
      <c r="Y267">
        <f t="shared" si="63"/>
        <v>0</v>
      </c>
      <c r="Z267" s="150" t="str">
        <f t="shared" si="64"/>
        <v>No</v>
      </c>
      <c r="AA267" s="150" t="str">
        <f t="shared" si="65"/>
        <v>No</v>
      </c>
      <c r="AB267">
        <f t="shared" si="66"/>
        <v>0</v>
      </c>
      <c r="AC267">
        <f t="shared" si="67"/>
        <v>0</v>
      </c>
      <c r="AD267" t="str">
        <f t="shared" si="68"/>
        <v>No</v>
      </c>
      <c r="AE267" t="str">
        <f t="shared" si="69"/>
        <v>No</v>
      </c>
    </row>
    <row r="268" spans="1:31" x14ac:dyDescent="0.25">
      <c r="A268" s="227"/>
      <c r="B268" s="228"/>
      <c r="C268" s="228"/>
      <c r="D268" s="229"/>
      <c r="E268" s="229"/>
      <c r="F268" s="229"/>
      <c r="G268" s="229"/>
      <c r="H268" s="230"/>
      <c r="I268" s="229"/>
      <c r="J268" s="220"/>
      <c r="K268" s="216"/>
      <c r="L268" s="216"/>
      <c r="M268" s="217"/>
      <c r="N268" s="217"/>
      <c r="O268" s="217"/>
      <c r="P268" s="213" t="str">
        <f t="shared" si="56"/>
        <v>No</v>
      </c>
      <c r="Q268" s="148" t="str">
        <f t="shared" si="57"/>
        <v>No</v>
      </c>
      <c r="R268" t="e">
        <f>VLOOKUP(F268, Property!A:B, 2,0)</f>
        <v>#N/A</v>
      </c>
      <c r="T268">
        <f t="shared" si="58"/>
        <v>0</v>
      </c>
      <c r="U268">
        <f t="shared" si="59"/>
        <v>0</v>
      </c>
      <c r="V268">
        <f t="shared" si="60"/>
        <v>0</v>
      </c>
      <c r="W268">
        <f t="shared" si="61"/>
        <v>0</v>
      </c>
      <c r="X268">
        <f t="shared" si="62"/>
        <v>0</v>
      </c>
      <c r="Y268">
        <f t="shared" si="63"/>
        <v>0</v>
      </c>
      <c r="Z268" s="150" t="str">
        <f t="shared" si="64"/>
        <v>No</v>
      </c>
      <c r="AA268" s="150" t="str">
        <f t="shared" si="65"/>
        <v>No</v>
      </c>
      <c r="AB268">
        <f t="shared" si="66"/>
        <v>0</v>
      </c>
      <c r="AC268">
        <f t="shared" si="67"/>
        <v>0</v>
      </c>
      <c r="AD268" t="str">
        <f t="shared" si="68"/>
        <v>No</v>
      </c>
      <c r="AE268" t="str">
        <f t="shared" si="69"/>
        <v>No</v>
      </c>
    </row>
    <row r="269" spans="1:31" x14ac:dyDescent="0.25">
      <c r="A269" s="227"/>
      <c r="B269" s="228"/>
      <c r="C269" s="228"/>
      <c r="D269" s="229"/>
      <c r="E269" s="229"/>
      <c r="F269" s="229"/>
      <c r="G269" s="229"/>
      <c r="H269" s="230"/>
      <c r="I269" s="229"/>
      <c r="J269" s="220"/>
      <c r="K269" s="216"/>
      <c r="L269" s="216"/>
      <c r="M269" s="217"/>
      <c r="N269" s="217"/>
      <c r="O269" s="217"/>
      <c r="P269" s="213" t="str">
        <f t="shared" si="56"/>
        <v>No</v>
      </c>
      <c r="Q269" s="148" t="str">
        <f t="shared" si="57"/>
        <v>No</v>
      </c>
      <c r="R269" t="e">
        <f>VLOOKUP(F269, Property!A:B, 2,0)</f>
        <v>#N/A</v>
      </c>
      <c r="T269">
        <f t="shared" si="58"/>
        <v>0</v>
      </c>
      <c r="U269">
        <f t="shared" si="59"/>
        <v>0</v>
      </c>
      <c r="V269">
        <f t="shared" si="60"/>
        <v>0</v>
      </c>
      <c r="W269">
        <f t="shared" si="61"/>
        <v>0</v>
      </c>
      <c r="X269">
        <f t="shared" si="62"/>
        <v>0</v>
      </c>
      <c r="Y269">
        <f t="shared" si="63"/>
        <v>0</v>
      </c>
      <c r="Z269" s="150" t="str">
        <f t="shared" si="64"/>
        <v>No</v>
      </c>
      <c r="AA269" s="150" t="str">
        <f t="shared" si="65"/>
        <v>No</v>
      </c>
      <c r="AB269">
        <f t="shared" si="66"/>
        <v>0</v>
      </c>
      <c r="AC269">
        <f t="shared" si="67"/>
        <v>0</v>
      </c>
      <c r="AD269" t="str">
        <f t="shared" si="68"/>
        <v>No</v>
      </c>
      <c r="AE269" t="str">
        <f t="shared" si="69"/>
        <v>No</v>
      </c>
    </row>
    <row r="270" spans="1:31" x14ac:dyDescent="0.25">
      <c r="A270" s="227"/>
      <c r="B270" s="228"/>
      <c r="C270" s="228"/>
      <c r="D270" s="229"/>
      <c r="E270" s="229"/>
      <c r="F270" s="229"/>
      <c r="G270" s="229"/>
      <c r="H270" s="230"/>
      <c r="I270" s="229"/>
      <c r="J270" s="220"/>
      <c r="K270" s="216"/>
      <c r="L270" s="216"/>
      <c r="M270" s="217"/>
      <c r="N270" s="217"/>
      <c r="O270" s="217"/>
      <c r="P270" s="213" t="str">
        <f t="shared" si="56"/>
        <v>No</v>
      </c>
      <c r="Q270" s="148" t="str">
        <f t="shared" si="57"/>
        <v>No</v>
      </c>
      <c r="R270" t="e">
        <f>VLOOKUP(F270, Property!A:B, 2,0)</f>
        <v>#N/A</v>
      </c>
      <c r="T270">
        <f t="shared" si="58"/>
        <v>0</v>
      </c>
      <c r="U270">
        <f t="shared" si="59"/>
        <v>0</v>
      </c>
      <c r="V270">
        <f t="shared" si="60"/>
        <v>0</v>
      </c>
      <c r="W270">
        <f t="shared" si="61"/>
        <v>0</v>
      </c>
      <c r="X270">
        <f t="shared" si="62"/>
        <v>0</v>
      </c>
      <c r="Y270">
        <f t="shared" si="63"/>
        <v>0</v>
      </c>
      <c r="Z270" s="150" t="str">
        <f t="shared" si="64"/>
        <v>No</v>
      </c>
      <c r="AA270" s="150" t="str">
        <f t="shared" si="65"/>
        <v>No</v>
      </c>
      <c r="AB270">
        <f t="shared" si="66"/>
        <v>0</v>
      </c>
      <c r="AC270">
        <f t="shared" si="67"/>
        <v>0</v>
      </c>
      <c r="AD270" t="str">
        <f t="shared" si="68"/>
        <v>No</v>
      </c>
      <c r="AE270" t="str">
        <f t="shared" si="69"/>
        <v>No</v>
      </c>
    </row>
    <row r="271" spans="1:31" x14ac:dyDescent="0.25">
      <c r="A271" s="227"/>
      <c r="B271" s="228"/>
      <c r="C271" s="228"/>
      <c r="D271" s="229"/>
      <c r="E271" s="229"/>
      <c r="F271" s="229"/>
      <c r="G271" s="229"/>
      <c r="H271" s="230"/>
      <c r="I271" s="229"/>
      <c r="J271" s="220"/>
      <c r="K271" s="216"/>
      <c r="L271" s="216"/>
      <c r="M271" s="217"/>
      <c r="N271" s="217"/>
      <c r="O271" s="217"/>
      <c r="P271" s="213" t="str">
        <f t="shared" si="56"/>
        <v>No</v>
      </c>
      <c r="Q271" s="148" t="str">
        <f t="shared" si="57"/>
        <v>No</v>
      </c>
      <c r="R271" t="e">
        <f>VLOOKUP(F271, Property!A:B, 2,0)</f>
        <v>#N/A</v>
      </c>
      <c r="T271">
        <f t="shared" si="58"/>
        <v>0</v>
      </c>
      <c r="U271">
        <f t="shared" si="59"/>
        <v>0</v>
      </c>
      <c r="V271">
        <f t="shared" si="60"/>
        <v>0</v>
      </c>
      <c r="W271">
        <f t="shared" si="61"/>
        <v>0</v>
      </c>
      <c r="X271">
        <f t="shared" si="62"/>
        <v>0</v>
      </c>
      <c r="Y271">
        <f t="shared" si="63"/>
        <v>0</v>
      </c>
      <c r="Z271" s="150" t="str">
        <f t="shared" si="64"/>
        <v>No</v>
      </c>
      <c r="AA271" s="150" t="str">
        <f t="shared" si="65"/>
        <v>No</v>
      </c>
      <c r="AB271">
        <f t="shared" si="66"/>
        <v>0</v>
      </c>
      <c r="AC271">
        <f t="shared" si="67"/>
        <v>0</v>
      </c>
      <c r="AD271" t="str">
        <f t="shared" si="68"/>
        <v>No</v>
      </c>
      <c r="AE271" t="str">
        <f t="shared" si="69"/>
        <v>No</v>
      </c>
    </row>
    <row r="272" spans="1:31" x14ac:dyDescent="0.25">
      <c r="A272" s="227"/>
      <c r="B272" s="228"/>
      <c r="C272" s="228"/>
      <c r="D272" s="229"/>
      <c r="E272" s="229"/>
      <c r="F272" s="229"/>
      <c r="G272" s="229"/>
      <c r="H272" s="230"/>
      <c r="I272" s="229"/>
      <c r="J272" s="220"/>
      <c r="K272" s="216"/>
      <c r="L272" s="216"/>
      <c r="M272" s="217"/>
      <c r="N272" s="217"/>
      <c r="O272" s="217"/>
      <c r="P272" s="213" t="str">
        <f t="shared" si="56"/>
        <v>No</v>
      </c>
      <c r="Q272" s="148" t="str">
        <f t="shared" si="57"/>
        <v>No</v>
      </c>
      <c r="R272" t="e">
        <f>VLOOKUP(F272, Property!A:B, 2,0)</f>
        <v>#N/A</v>
      </c>
      <c r="T272">
        <f t="shared" si="58"/>
        <v>0</v>
      </c>
      <c r="U272">
        <f t="shared" si="59"/>
        <v>0</v>
      </c>
      <c r="V272">
        <f t="shared" si="60"/>
        <v>0</v>
      </c>
      <c r="W272">
        <f t="shared" si="61"/>
        <v>0</v>
      </c>
      <c r="X272">
        <f t="shared" si="62"/>
        <v>0</v>
      </c>
      <c r="Y272">
        <f t="shared" si="63"/>
        <v>0</v>
      </c>
      <c r="Z272" s="150" t="str">
        <f t="shared" si="64"/>
        <v>No</v>
      </c>
      <c r="AA272" s="150" t="str">
        <f t="shared" si="65"/>
        <v>No</v>
      </c>
      <c r="AB272">
        <f t="shared" si="66"/>
        <v>0</v>
      </c>
      <c r="AC272">
        <f t="shared" si="67"/>
        <v>0</v>
      </c>
      <c r="AD272" t="str">
        <f t="shared" si="68"/>
        <v>No</v>
      </c>
      <c r="AE272" t="str">
        <f t="shared" si="69"/>
        <v>No</v>
      </c>
    </row>
    <row r="273" spans="1:31" x14ac:dyDescent="0.25">
      <c r="A273" s="227"/>
      <c r="B273" s="228"/>
      <c r="C273" s="228"/>
      <c r="D273" s="229"/>
      <c r="E273" s="229"/>
      <c r="F273" s="229"/>
      <c r="G273" s="229"/>
      <c r="H273" s="230"/>
      <c r="I273" s="229"/>
      <c r="J273" s="220"/>
      <c r="K273" s="216"/>
      <c r="L273" s="216"/>
      <c r="M273" s="217"/>
      <c r="N273" s="217"/>
      <c r="O273" s="217"/>
      <c r="P273" s="213" t="str">
        <f t="shared" si="56"/>
        <v>No</v>
      </c>
      <c r="Q273" s="148" t="str">
        <f t="shared" si="57"/>
        <v>No</v>
      </c>
      <c r="R273" t="e">
        <f>VLOOKUP(F273, Property!A:B, 2,0)</f>
        <v>#N/A</v>
      </c>
      <c r="T273">
        <f t="shared" si="58"/>
        <v>0</v>
      </c>
      <c r="U273">
        <f t="shared" si="59"/>
        <v>0</v>
      </c>
      <c r="V273">
        <f t="shared" si="60"/>
        <v>0</v>
      </c>
      <c r="W273">
        <f t="shared" si="61"/>
        <v>0</v>
      </c>
      <c r="X273">
        <f t="shared" si="62"/>
        <v>0</v>
      </c>
      <c r="Y273">
        <f t="shared" si="63"/>
        <v>0</v>
      </c>
      <c r="Z273" s="150" t="str">
        <f t="shared" si="64"/>
        <v>No</v>
      </c>
      <c r="AA273" s="150" t="str">
        <f t="shared" si="65"/>
        <v>No</v>
      </c>
      <c r="AB273">
        <f t="shared" si="66"/>
        <v>0</v>
      </c>
      <c r="AC273">
        <f t="shared" si="67"/>
        <v>0</v>
      </c>
      <c r="AD273" t="str">
        <f t="shared" si="68"/>
        <v>No</v>
      </c>
      <c r="AE273" t="str">
        <f t="shared" si="69"/>
        <v>No</v>
      </c>
    </row>
    <row r="274" spans="1:31" x14ac:dyDescent="0.25">
      <c r="A274" s="227"/>
      <c r="B274" s="228"/>
      <c r="C274" s="228"/>
      <c r="D274" s="229"/>
      <c r="E274" s="229"/>
      <c r="F274" s="229"/>
      <c r="G274" s="229"/>
      <c r="H274" s="230"/>
      <c r="I274" s="229"/>
      <c r="J274" s="220"/>
      <c r="K274" s="216"/>
      <c r="L274" s="216"/>
      <c r="M274" s="217"/>
      <c r="N274" s="217"/>
      <c r="O274" s="217"/>
      <c r="P274" s="213" t="str">
        <f t="shared" si="56"/>
        <v>No</v>
      </c>
      <c r="Q274" s="148" t="str">
        <f t="shared" si="57"/>
        <v>No</v>
      </c>
      <c r="R274" t="e">
        <f>VLOOKUP(F274, Property!A:B, 2,0)</f>
        <v>#N/A</v>
      </c>
      <c r="T274">
        <f t="shared" si="58"/>
        <v>0</v>
      </c>
      <c r="U274">
        <f t="shared" si="59"/>
        <v>0</v>
      </c>
      <c r="V274">
        <f t="shared" si="60"/>
        <v>0</v>
      </c>
      <c r="W274">
        <f t="shared" si="61"/>
        <v>0</v>
      </c>
      <c r="X274">
        <f t="shared" si="62"/>
        <v>0</v>
      </c>
      <c r="Y274">
        <f t="shared" si="63"/>
        <v>0</v>
      </c>
      <c r="Z274" s="150" t="str">
        <f t="shared" si="64"/>
        <v>No</v>
      </c>
      <c r="AA274" s="150" t="str">
        <f t="shared" si="65"/>
        <v>No</v>
      </c>
      <c r="AB274">
        <f t="shared" si="66"/>
        <v>0</v>
      </c>
      <c r="AC274">
        <f t="shared" si="67"/>
        <v>0</v>
      </c>
      <c r="AD274" t="str">
        <f t="shared" si="68"/>
        <v>No</v>
      </c>
      <c r="AE274" t="str">
        <f t="shared" si="69"/>
        <v>No</v>
      </c>
    </row>
    <row r="275" spans="1:31" x14ac:dyDescent="0.25">
      <c r="A275" s="227"/>
      <c r="B275" s="228"/>
      <c r="C275" s="228"/>
      <c r="D275" s="229"/>
      <c r="E275" s="229"/>
      <c r="F275" s="229"/>
      <c r="G275" s="229"/>
      <c r="H275" s="230"/>
      <c r="I275" s="229"/>
      <c r="J275" s="220"/>
      <c r="K275" s="216"/>
      <c r="L275" s="216"/>
      <c r="M275" s="216"/>
      <c r="N275" s="217"/>
      <c r="O275" s="217"/>
      <c r="P275" s="213" t="str">
        <f t="shared" si="56"/>
        <v>No</v>
      </c>
      <c r="Q275" s="148" t="str">
        <f t="shared" si="57"/>
        <v>No</v>
      </c>
      <c r="R275" t="e">
        <f>VLOOKUP(F275, Property!A:B, 2,0)</f>
        <v>#N/A</v>
      </c>
      <c r="T275">
        <f t="shared" si="58"/>
        <v>0</v>
      </c>
      <c r="U275">
        <f t="shared" si="59"/>
        <v>0</v>
      </c>
      <c r="V275">
        <f t="shared" si="60"/>
        <v>0</v>
      </c>
      <c r="W275">
        <f t="shared" si="61"/>
        <v>0</v>
      </c>
      <c r="X275">
        <f t="shared" si="62"/>
        <v>0</v>
      </c>
      <c r="Y275">
        <f t="shared" si="63"/>
        <v>0</v>
      </c>
      <c r="Z275" s="150" t="str">
        <f t="shared" si="64"/>
        <v>No</v>
      </c>
      <c r="AA275" s="150" t="str">
        <f t="shared" si="65"/>
        <v>No</v>
      </c>
      <c r="AB275">
        <f t="shared" si="66"/>
        <v>0</v>
      </c>
      <c r="AC275">
        <f t="shared" si="67"/>
        <v>0</v>
      </c>
      <c r="AD275" t="str">
        <f t="shared" si="68"/>
        <v>No</v>
      </c>
      <c r="AE275" t="str">
        <f t="shared" si="69"/>
        <v>No</v>
      </c>
    </row>
    <row r="276" spans="1:31" x14ac:dyDescent="0.25">
      <c r="A276" s="227"/>
      <c r="B276" s="228"/>
      <c r="C276" s="228"/>
      <c r="D276" s="229"/>
      <c r="E276" s="229"/>
      <c r="F276" s="229"/>
      <c r="G276" s="229"/>
      <c r="H276" s="230"/>
      <c r="I276" s="229"/>
      <c r="J276" s="220"/>
      <c r="K276" s="216"/>
      <c r="L276" s="216"/>
      <c r="M276" s="217"/>
      <c r="N276" s="217"/>
      <c r="O276" s="217"/>
      <c r="P276" s="213" t="str">
        <f t="shared" si="56"/>
        <v>No</v>
      </c>
      <c r="Q276" s="148" t="str">
        <f t="shared" si="57"/>
        <v>No</v>
      </c>
      <c r="R276" t="e">
        <f>VLOOKUP(F276, Property!A:B, 2,0)</f>
        <v>#N/A</v>
      </c>
      <c r="T276">
        <f t="shared" si="58"/>
        <v>0</v>
      </c>
      <c r="U276">
        <f t="shared" si="59"/>
        <v>0</v>
      </c>
      <c r="V276">
        <f t="shared" si="60"/>
        <v>0</v>
      </c>
      <c r="W276">
        <f t="shared" si="61"/>
        <v>0</v>
      </c>
      <c r="X276">
        <f t="shared" si="62"/>
        <v>0</v>
      </c>
      <c r="Y276">
        <f t="shared" si="63"/>
        <v>0</v>
      </c>
      <c r="Z276" s="150" t="str">
        <f t="shared" si="64"/>
        <v>No</v>
      </c>
      <c r="AA276" s="150" t="str">
        <f t="shared" si="65"/>
        <v>No</v>
      </c>
      <c r="AB276">
        <f t="shared" si="66"/>
        <v>0</v>
      </c>
      <c r="AC276">
        <f t="shared" si="67"/>
        <v>0</v>
      </c>
      <c r="AD276" t="str">
        <f t="shared" si="68"/>
        <v>No</v>
      </c>
      <c r="AE276" t="str">
        <f t="shared" si="69"/>
        <v>No</v>
      </c>
    </row>
    <row r="277" spans="1:31" x14ac:dyDescent="0.25">
      <c r="A277" s="227"/>
      <c r="B277" s="228"/>
      <c r="C277" s="228"/>
      <c r="D277" s="229"/>
      <c r="E277" s="229"/>
      <c r="F277" s="229"/>
      <c r="G277" s="229"/>
      <c r="H277" s="230"/>
      <c r="I277" s="229"/>
      <c r="J277" s="220"/>
      <c r="K277" s="216"/>
      <c r="L277" s="216"/>
      <c r="M277" s="217"/>
      <c r="N277" s="217"/>
      <c r="O277" s="217"/>
      <c r="P277" s="213" t="str">
        <f t="shared" si="56"/>
        <v>No</v>
      </c>
      <c r="Q277" s="148" t="str">
        <f t="shared" si="57"/>
        <v>No</v>
      </c>
      <c r="R277" t="e">
        <f>VLOOKUP(F277, Property!A:B, 2,0)</f>
        <v>#N/A</v>
      </c>
      <c r="T277">
        <f t="shared" si="58"/>
        <v>0</v>
      </c>
      <c r="U277">
        <f t="shared" si="59"/>
        <v>0</v>
      </c>
      <c r="V277">
        <f t="shared" si="60"/>
        <v>0</v>
      </c>
      <c r="W277">
        <f t="shared" si="61"/>
        <v>0</v>
      </c>
      <c r="X277">
        <f t="shared" si="62"/>
        <v>0</v>
      </c>
      <c r="Y277">
        <f t="shared" si="63"/>
        <v>0</v>
      </c>
      <c r="Z277" s="150" t="str">
        <f t="shared" si="64"/>
        <v>No</v>
      </c>
      <c r="AA277" s="150" t="str">
        <f t="shared" si="65"/>
        <v>No</v>
      </c>
      <c r="AB277">
        <f t="shared" si="66"/>
        <v>0</v>
      </c>
      <c r="AC277">
        <f t="shared" si="67"/>
        <v>0</v>
      </c>
      <c r="AD277" t="str">
        <f t="shared" si="68"/>
        <v>No</v>
      </c>
      <c r="AE277" t="str">
        <f t="shared" si="69"/>
        <v>No</v>
      </c>
    </row>
    <row r="278" spans="1:31" x14ac:dyDescent="0.25">
      <c r="A278" s="227"/>
      <c r="B278" s="228"/>
      <c r="C278" s="228"/>
      <c r="D278" s="229"/>
      <c r="E278" s="229"/>
      <c r="F278" s="229"/>
      <c r="G278" s="229"/>
      <c r="H278" s="230"/>
      <c r="I278" s="229"/>
      <c r="J278" s="220"/>
      <c r="K278" s="216"/>
      <c r="L278" s="216"/>
      <c r="M278" s="217"/>
      <c r="N278" s="217"/>
      <c r="O278" s="217"/>
      <c r="P278" s="213" t="str">
        <f t="shared" si="56"/>
        <v>No</v>
      </c>
      <c r="Q278" s="148" t="str">
        <f t="shared" si="57"/>
        <v>No</v>
      </c>
      <c r="R278" t="e">
        <f>VLOOKUP(F278, Property!A:B, 2,0)</f>
        <v>#N/A</v>
      </c>
      <c r="T278">
        <f t="shared" si="58"/>
        <v>0</v>
      </c>
      <c r="U278">
        <f t="shared" si="59"/>
        <v>0</v>
      </c>
      <c r="V278">
        <f t="shared" si="60"/>
        <v>0</v>
      </c>
      <c r="W278">
        <f t="shared" si="61"/>
        <v>0</v>
      </c>
      <c r="X278">
        <f t="shared" si="62"/>
        <v>0</v>
      </c>
      <c r="Y278">
        <f t="shared" si="63"/>
        <v>0</v>
      </c>
      <c r="Z278" s="150" t="str">
        <f t="shared" si="64"/>
        <v>No</v>
      </c>
      <c r="AA278" s="150" t="str">
        <f t="shared" si="65"/>
        <v>No</v>
      </c>
      <c r="AB278">
        <f t="shared" si="66"/>
        <v>0</v>
      </c>
      <c r="AC278">
        <f t="shared" si="67"/>
        <v>0</v>
      </c>
      <c r="AD278" t="str">
        <f t="shared" si="68"/>
        <v>No</v>
      </c>
      <c r="AE278" t="str">
        <f t="shared" si="69"/>
        <v>No</v>
      </c>
    </row>
    <row r="279" spans="1:31" x14ac:dyDescent="0.25">
      <c r="A279" s="227"/>
      <c r="B279" s="228"/>
      <c r="C279" s="228"/>
      <c r="D279" s="229"/>
      <c r="E279" s="229"/>
      <c r="F279" s="229"/>
      <c r="G279" s="229"/>
      <c r="H279" s="230"/>
      <c r="I279" s="229"/>
      <c r="J279" s="220"/>
      <c r="K279" s="216"/>
      <c r="L279" s="216"/>
      <c r="M279" s="217"/>
      <c r="N279" s="217"/>
      <c r="O279" s="217"/>
      <c r="P279" s="213" t="str">
        <f t="shared" si="56"/>
        <v>No</v>
      </c>
      <c r="Q279" s="148" t="str">
        <f t="shared" si="57"/>
        <v>No</v>
      </c>
      <c r="R279" t="e">
        <f>VLOOKUP(F279, Property!A:B, 2,0)</f>
        <v>#N/A</v>
      </c>
      <c r="T279">
        <f t="shared" si="58"/>
        <v>0</v>
      </c>
      <c r="U279">
        <f t="shared" si="59"/>
        <v>0</v>
      </c>
      <c r="V279">
        <f t="shared" si="60"/>
        <v>0</v>
      </c>
      <c r="W279">
        <f t="shared" si="61"/>
        <v>0</v>
      </c>
      <c r="X279">
        <f t="shared" si="62"/>
        <v>0</v>
      </c>
      <c r="Y279">
        <f t="shared" si="63"/>
        <v>0</v>
      </c>
      <c r="Z279" s="150" t="str">
        <f t="shared" si="64"/>
        <v>No</v>
      </c>
      <c r="AA279" s="150" t="str">
        <f t="shared" si="65"/>
        <v>No</v>
      </c>
      <c r="AB279">
        <f t="shared" si="66"/>
        <v>0</v>
      </c>
      <c r="AC279">
        <f t="shared" si="67"/>
        <v>0</v>
      </c>
      <c r="AD279" t="str">
        <f t="shared" si="68"/>
        <v>No</v>
      </c>
      <c r="AE279" t="str">
        <f t="shared" si="69"/>
        <v>No</v>
      </c>
    </row>
    <row r="280" spans="1:31" x14ac:dyDescent="0.25">
      <c r="A280" s="227"/>
      <c r="B280" s="228"/>
      <c r="C280" s="228"/>
      <c r="D280" s="229"/>
      <c r="E280" s="229"/>
      <c r="F280" s="229"/>
      <c r="G280" s="229"/>
      <c r="H280" s="230"/>
      <c r="I280" s="229"/>
      <c r="J280" s="220"/>
      <c r="K280" s="216"/>
      <c r="L280" s="216"/>
      <c r="M280" s="217"/>
      <c r="N280" s="217"/>
      <c r="O280" s="217"/>
      <c r="P280" s="213" t="str">
        <f t="shared" si="56"/>
        <v>No</v>
      </c>
      <c r="Q280" s="148" t="str">
        <f t="shared" si="57"/>
        <v>No</v>
      </c>
      <c r="R280" t="e">
        <f>VLOOKUP(F280, Property!A:B, 2,0)</f>
        <v>#N/A</v>
      </c>
      <c r="T280">
        <f t="shared" si="58"/>
        <v>0</v>
      </c>
      <c r="U280">
        <f t="shared" si="59"/>
        <v>0</v>
      </c>
      <c r="V280">
        <f t="shared" si="60"/>
        <v>0</v>
      </c>
      <c r="W280">
        <f t="shared" si="61"/>
        <v>0</v>
      </c>
      <c r="X280">
        <f t="shared" si="62"/>
        <v>0</v>
      </c>
      <c r="Y280">
        <f t="shared" si="63"/>
        <v>0</v>
      </c>
      <c r="Z280" s="150" t="str">
        <f t="shared" si="64"/>
        <v>No</v>
      </c>
      <c r="AA280" s="150" t="str">
        <f t="shared" si="65"/>
        <v>No</v>
      </c>
      <c r="AB280">
        <f t="shared" si="66"/>
        <v>0</v>
      </c>
      <c r="AC280">
        <f t="shared" si="67"/>
        <v>0</v>
      </c>
      <c r="AD280" t="str">
        <f t="shared" si="68"/>
        <v>No</v>
      </c>
      <c r="AE280" t="str">
        <f t="shared" si="69"/>
        <v>No</v>
      </c>
    </row>
    <row r="281" spans="1:31" x14ac:dyDescent="0.25">
      <c r="A281" s="227"/>
      <c r="B281" s="228"/>
      <c r="C281" s="228"/>
      <c r="D281" s="229"/>
      <c r="E281" s="229"/>
      <c r="F281" s="229"/>
      <c r="G281" s="229"/>
      <c r="H281" s="230"/>
      <c r="I281" s="229"/>
      <c r="J281" s="220"/>
      <c r="K281" s="216"/>
      <c r="L281" s="216"/>
      <c r="M281" s="217"/>
      <c r="N281" s="217"/>
      <c r="O281" s="217"/>
      <c r="P281" s="213" t="str">
        <f t="shared" si="56"/>
        <v>No</v>
      </c>
      <c r="Q281" s="148" t="str">
        <f t="shared" si="57"/>
        <v>No</v>
      </c>
      <c r="R281" t="e">
        <f>VLOOKUP(F281, Property!A:B, 2,0)</f>
        <v>#N/A</v>
      </c>
      <c r="T281">
        <f t="shared" si="58"/>
        <v>0</v>
      </c>
      <c r="U281">
        <f t="shared" si="59"/>
        <v>0</v>
      </c>
      <c r="V281">
        <f t="shared" si="60"/>
        <v>0</v>
      </c>
      <c r="W281">
        <f t="shared" si="61"/>
        <v>0</v>
      </c>
      <c r="X281">
        <f t="shared" si="62"/>
        <v>0</v>
      </c>
      <c r="Y281">
        <f t="shared" si="63"/>
        <v>0</v>
      </c>
      <c r="Z281" s="150" t="str">
        <f t="shared" si="64"/>
        <v>No</v>
      </c>
      <c r="AA281" s="150" t="str">
        <f t="shared" si="65"/>
        <v>No</v>
      </c>
      <c r="AB281">
        <f t="shared" si="66"/>
        <v>0</v>
      </c>
      <c r="AC281">
        <f t="shared" si="67"/>
        <v>0</v>
      </c>
      <c r="AD281" t="str">
        <f t="shared" si="68"/>
        <v>No</v>
      </c>
      <c r="AE281" t="str">
        <f t="shared" si="69"/>
        <v>No</v>
      </c>
    </row>
    <row r="282" spans="1:31" x14ac:dyDescent="0.25">
      <c r="A282" s="227"/>
      <c r="B282" s="228"/>
      <c r="C282" s="228"/>
      <c r="D282" s="229"/>
      <c r="E282" s="229"/>
      <c r="F282" s="229"/>
      <c r="G282" s="229"/>
      <c r="H282" s="230"/>
      <c r="I282" s="229"/>
      <c r="J282" s="220"/>
      <c r="K282" s="216"/>
      <c r="L282" s="216"/>
      <c r="M282" s="217"/>
      <c r="N282" s="217"/>
      <c r="O282" s="217"/>
      <c r="P282" s="213" t="str">
        <f t="shared" si="56"/>
        <v>No</v>
      </c>
      <c r="Q282" s="148" t="str">
        <f t="shared" si="57"/>
        <v>No</v>
      </c>
      <c r="R282" t="e">
        <f>VLOOKUP(F282, Property!A:B, 2,0)</f>
        <v>#N/A</v>
      </c>
      <c r="T282">
        <f t="shared" si="58"/>
        <v>0</v>
      </c>
      <c r="U282">
        <f t="shared" si="59"/>
        <v>0</v>
      </c>
      <c r="V282">
        <f t="shared" si="60"/>
        <v>0</v>
      </c>
      <c r="W282">
        <f t="shared" si="61"/>
        <v>0</v>
      </c>
      <c r="X282">
        <f t="shared" si="62"/>
        <v>0</v>
      </c>
      <c r="Y282">
        <f t="shared" si="63"/>
        <v>0</v>
      </c>
      <c r="Z282" s="150" t="str">
        <f t="shared" si="64"/>
        <v>No</v>
      </c>
      <c r="AA282" s="150" t="str">
        <f t="shared" si="65"/>
        <v>No</v>
      </c>
      <c r="AB282">
        <f t="shared" si="66"/>
        <v>0</v>
      </c>
      <c r="AC282">
        <f t="shared" si="67"/>
        <v>0</v>
      </c>
      <c r="AD282" t="str">
        <f t="shared" si="68"/>
        <v>No</v>
      </c>
      <c r="AE282" t="str">
        <f t="shared" si="69"/>
        <v>No</v>
      </c>
    </row>
    <row r="283" spans="1:31" x14ac:dyDescent="0.25">
      <c r="A283" s="227"/>
      <c r="B283" s="228"/>
      <c r="C283" s="228"/>
      <c r="D283" s="229"/>
      <c r="E283" s="229"/>
      <c r="F283" s="229"/>
      <c r="G283" s="229"/>
      <c r="H283" s="230"/>
      <c r="I283" s="229"/>
      <c r="J283" s="220"/>
      <c r="K283" s="216"/>
      <c r="L283" s="216"/>
      <c r="M283" s="217"/>
      <c r="N283" s="217"/>
      <c r="O283" s="217"/>
      <c r="P283" s="213" t="str">
        <f t="shared" si="56"/>
        <v>No</v>
      </c>
      <c r="Q283" s="148" t="str">
        <f t="shared" si="57"/>
        <v>No</v>
      </c>
      <c r="R283" t="e">
        <f>VLOOKUP(F283, Property!A:B, 2,0)</f>
        <v>#N/A</v>
      </c>
      <c r="T283">
        <f t="shared" si="58"/>
        <v>0</v>
      </c>
      <c r="U283">
        <f t="shared" si="59"/>
        <v>0</v>
      </c>
      <c r="V283">
        <f t="shared" si="60"/>
        <v>0</v>
      </c>
      <c r="W283">
        <f t="shared" si="61"/>
        <v>0</v>
      </c>
      <c r="X283">
        <f t="shared" si="62"/>
        <v>0</v>
      </c>
      <c r="Y283">
        <f t="shared" si="63"/>
        <v>0</v>
      </c>
      <c r="Z283" s="150" t="str">
        <f t="shared" si="64"/>
        <v>No</v>
      </c>
      <c r="AA283" s="150" t="str">
        <f t="shared" si="65"/>
        <v>No</v>
      </c>
      <c r="AB283">
        <f t="shared" si="66"/>
        <v>0</v>
      </c>
      <c r="AC283">
        <f t="shared" si="67"/>
        <v>0</v>
      </c>
      <c r="AD283" t="str">
        <f t="shared" si="68"/>
        <v>No</v>
      </c>
      <c r="AE283" t="str">
        <f t="shared" si="69"/>
        <v>No</v>
      </c>
    </row>
    <row r="284" spans="1:31" x14ac:dyDescent="0.25">
      <c r="A284" s="227"/>
      <c r="B284" s="228"/>
      <c r="C284" s="228"/>
      <c r="D284" s="229"/>
      <c r="E284" s="229"/>
      <c r="F284" s="229"/>
      <c r="G284" s="229"/>
      <c r="H284" s="230"/>
      <c r="I284" s="229"/>
      <c r="J284" s="220"/>
      <c r="K284" s="216"/>
      <c r="L284" s="216"/>
      <c r="M284" s="217"/>
      <c r="N284" s="217"/>
      <c r="O284" s="217"/>
      <c r="P284" s="213" t="str">
        <f t="shared" si="56"/>
        <v>No</v>
      </c>
      <c r="Q284" s="148" t="str">
        <f t="shared" si="57"/>
        <v>No</v>
      </c>
      <c r="R284" t="e">
        <f>VLOOKUP(F284, Property!A:B, 2,0)</f>
        <v>#N/A</v>
      </c>
      <c r="T284">
        <f t="shared" si="58"/>
        <v>0</v>
      </c>
      <c r="U284">
        <f t="shared" si="59"/>
        <v>0</v>
      </c>
      <c r="V284">
        <f t="shared" si="60"/>
        <v>0</v>
      </c>
      <c r="W284">
        <f t="shared" si="61"/>
        <v>0</v>
      </c>
      <c r="X284">
        <f t="shared" si="62"/>
        <v>0</v>
      </c>
      <c r="Y284">
        <f t="shared" si="63"/>
        <v>0</v>
      </c>
      <c r="Z284" s="150" t="str">
        <f t="shared" si="64"/>
        <v>No</v>
      </c>
      <c r="AA284" s="150" t="str">
        <f t="shared" si="65"/>
        <v>No</v>
      </c>
      <c r="AB284">
        <f t="shared" si="66"/>
        <v>0</v>
      </c>
      <c r="AC284">
        <f t="shared" si="67"/>
        <v>0</v>
      </c>
      <c r="AD284" t="str">
        <f t="shared" si="68"/>
        <v>No</v>
      </c>
      <c r="AE284" t="str">
        <f t="shared" si="69"/>
        <v>No</v>
      </c>
    </row>
    <row r="285" spans="1:31" x14ac:dyDescent="0.25">
      <c r="A285" s="227"/>
      <c r="B285" s="228"/>
      <c r="C285" s="228"/>
      <c r="D285" s="229"/>
      <c r="E285" s="229"/>
      <c r="F285" s="229"/>
      <c r="G285" s="229"/>
      <c r="H285" s="230"/>
      <c r="I285" s="229"/>
      <c r="J285" s="220"/>
      <c r="K285" s="216"/>
      <c r="L285" s="216"/>
      <c r="M285" s="217"/>
      <c r="N285" s="217"/>
      <c r="O285" s="217"/>
      <c r="P285" s="213" t="str">
        <f t="shared" si="56"/>
        <v>No</v>
      </c>
      <c r="Q285" s="148" t="str">
        <f t="shared" si="57"/>
        <v>No</v>
      </c>
      <c r="R285" t="e">
        <f>VLOOKUP(F285, Property!A:B, 2,0)</f>
        <v>#N/A</v>
      </c>
      <c r="T285">
        <f t="shared" si="58"/>
        <v>0</v>
      </c>
      <c r="U285">
        <f t="shared" si="59"/>
        <v>0</v>
      </c>
      <c r="V285">
        <f t="shared" si="60"/>
        <v>0</v>
      </c>
      <c r="W285">
        <f t="shared" si="61"/>
        <v>0</v>
      </c>
      <c r="X285">
        <f t="shared" si="62"/>
        <v>0</v>
      </c>
      <c r="Y285">
        <f t="shared" si="63"/>
        <v>0</v>
      </c>
      <c r="Z285" s="150" t="str">
        <f t="shared" si="64"/>
        <v>No</v>
      </c>
      <c r="AA285" s="150" t="str">
        <f t="shared" si="65"/>
        <v>No</v>
      </c>
      <c r="AB285">
        <f t="shared" si="66"/>
        <v>0</v>
      </c>
      <c r="AC285">
        <f t="shared" si="67"/>
        <v>0</v>
      </c>
      <c r="AD285" t="str">
        <f t="shared" si="68"/>
        <v>No</v>
      </c>
      <c r="AE285" t="str">
        <f t="shared" si="69"/>
        <v>No</v>
      </c>
    </row>
    <row r="286" spans="1:31" x14ac:dyDescent="0.25">
      <c r="A286" s="227"/>
      <c r="B286" s="228"/>
      <c r="C286" s="228"/>
      <c r="D286" s="229"/>
      <c r="E286" s="229"/>
      <c r="F286" s="229"/>
      <c r="G286" s="229"/>
      <c r="H286" s="230"/>
      <c r="I286" s="229"/>
      <c r="J286" s="220"/>
      <c r="K286" s="216"/>
      <c r="L286" s="216"/>
      <c r="M286" s="217"/>
      <c r="N286" s="217"/>
      <c r="O286" s="217"/>
      <c r="P286" s="213" t="str">
        <f t="shared" si="56"/>
        <v>No</v>
      </c>
      <c r="Q286" s="148" t="str">
        <f t="shared" si="57"/>
        <v>No</v>
      </c>
      <c r="R286" t="e">
        <f>VLOOKUP(F286, Property!A:B, 2,0)</f>
        <v>#N/A</v>
      </c>
      <c r="T286">
        <f t="shared" si="58"/>
        <v>0</v>
      </c>
      <c r="U286">
        <f t="shared" si="59"/>
        <v>0</v>
      </c>
      <c r="V286">
        <f t="shared" si="60"/>
        <v>0</v>
      </c>
      <c r="W286">
        <f t="shared" si="61"/>
        <v>0</v>
      </c>
      <c r="X286">
        <f t="shared" si="62"/>
        <v>0</v>
      </c>
      <c r="Y286">
        <f t="shared" si="63"/>
        <v>0</v>
      </c>
      <c r="Z286" s="150" t="str">
        <f t="shared" si="64"/>
        <v>No</v>
      </c>
      <c r="AA286" s="150" t="str">
        <f t="shared" si="65"/>
        <v>No</v>
      </c>
      <c r="AB286">
        <f t="shared" si="66"/>
        <v>0</v>
      </c>
      <c r="AC286">
        <f t="shared" si="67"/>
        <v>0</v>
      </c>
      <c r="AD286" t="str">
        <f t="shared" si="68"/>
        <v>No</v>
      </c>
      <c r="AE286" t="str">
        <f t="shared" si="69"/>
        <v>No</v>
      </c>
    </row>
    <row r="287" spans="1:31" x14ac:dyDescent="0.25">
      <c r="A287" s="227"/>
      <c r="B287" s="228"/>
      <c r="C287" s="228"/>
      <c r="D287" s="229"/>
      <c r="E287" s="229"/>
      <c r="F287" s="229"/>
      <c r="G287" s="229"/>
      <c r="H287" s="230"/>
      <c r="I287" s="229"/>
      <c r="J287" s="220"/>
      <c r="K287" s="216"/>
      <c r="L287" s="216"/>
      <c r="M287" s="217"/>
      <c r="N287" s="217"/>
      <c r="O287" s="217"/>
      <c r="P287" s="213" t="str">
        <f t="shared" si="56"/>
        <v>No</v>
      </c>
      <c r="Q287" s="148" t="str">
        <f t="shared" si="57"/>
        <v>No</v>
      </c>
      <c r="R287" t="e">
        <f>VLOOKUP(F287, Property!A:B, 2,0)</f>
        <v>#N/A</v>
      </c>
      <c r="T287">
        <f t="shared" si="58"/>
        <v>0</v>
      </c>
      <c r="U287">
        <f t="shared" si="59"/>
        <v>0</v>
      </c>
      <c r="V287">
        <f t="shared" si="60"/>
        <v>0</v>
      </c>
      <c r="W287">
        <f t="shared" si="61"/>
        <v>0</v>
      </c>
      <c r="X287">
        <f t="shared" si="62"/>
        <v>0</v>
      </c>
      <c r="Y287">
        <f t="shared" si="63"/>
        <v>0</v>
      </c>
      <c r="Z287" s="150" t="str">
        <f t="shared" si="64"/>
        <v>No</v>
      </c>
      <c r="AA287" s="150" t="str">
        <f t="shared" si="65"/>
        <v>No</v>
      </c>
      <c r="AB287">
        <f t="shared" si="66"/>
        <v>0</v>
      </c>
      <c r="AC287">
        <f t="shared" si="67"/>
        <v>0</v>
      </c>
      <c r="AD287" t="str">
        <f t="shared" si="68"/>
        <v>No</v>
      </c>
      <c r="AE287" t="str">
        <f t="shared" si="69"/>
        <v>No</v>
      </c>
    </row>
    <row r="288" spans="1:31" x14ac:dyDescent="0.25">
      <c r="A288" s="227"/>
      <c r="B288" s="228"/>
      <c r="C288" s="228"/>
      <c r="D288" s="229"/>
      <c r="E288" s="229"/>
      <c r="F288" s="229"/>
      <c r="G288" s="229"/>
      <c r="H288" s="230"/>
      <c r="I288" s="229"/>
      <c r="J288" s="220"/>
      <c r="K288" s="216"/>
      <c r="L288" s="216"/>
      <c r="M288" s="217"/>
      <c r="N288" s="217"/>
      <c r="O288" s="217"/>
      <c r="P288" s="213" t="str">
        <f t="shared" si="56"/>
        <v>No</v>
      </c>
      <c r="Q288" s="148" t="str">
        <f t="shared" si="57"/>
        <v>No</v>
      </c>
      <c r="R288" t="e">
        <f>VLOOKUP(F288, Property!A:B, 2,0)</f>
        <v>#N/A</v>
      </c>
      <c r="T288">
        <f t="shared" si="58"/>
        <v>0</v>
      </c>
      <c r="U288">
        <f t="shared" si="59"/>
        <v>0</v>
      </c>
      <c r="V288">
        <f t="shared" si="60"/>
        <v>0</v>
      </c>
      <c r="W288">
        <f t="shared" si="61"/>
        <v>0</v>
      </c>
      <c r="X288">
        <f t="shared" si="62"/>
        <v>0</v>
      </c>
      <c r="Y288">
        <f t="shared" si="63"/>
        <v>0</v>
      </c>
      <c r="Z288" s="150" t="str">
        <f t="shared" si="64"/>
        <v>No</v>
      </c>
      <c r="AA288" s="150" t="str">
        <f t="shared" si="65"/>
        <v>No</v>
      </c>
      <c r="AB288">
        <f t="shared" si="66"/>
        <v>0</v>
      </c>
      <c r="AC288">
        <f t="shared" si="67"/>
        <v>0</v>
      </c>
      <c r="AD288" t="str">
        <f t="shared" si="68"/>
        <v>No</v>
      </c>
      <c r="AE288" t="str">
        <f t="shared" si="69"/>
        <v>No</v>
      </c>
    </row>
    <row r="289" spans="1:31" x14ac:dyDescent="0.25">
      <c r="A289" s="227"/>
      <c r="B289" s="228"/>
      <c r="C289" s="228"/>
      <c r="D289" s="229"/>
      <c r="E289" s="229"/>
      <c r="F289" s="229"/>
      <c r="G289" s="229"/>
      <c r="H289" s="230"/>
      <c r="I289" s="229"/>
      <c r="J289" s="220"/>
      <c r="K289" s="216"/>
      <c r="L289" s="216"/>
      <c r="M289" s="217"/>
      <c r="N289" s="217"/>
      <c r="O289" s="217"/>
      <c r="P289" s="213" t="str">
        <f t="shared" si="56"/>
        <v>No</v>
      </c>
      <c r="Q289" s="148" t="str">
        <f t="shared" si="57"/>
        <v>No</v>
      </c>
      <c r="R289" t="e">
        <f>VLOOKUP(F289, Property!A:B, 2,0)</f>
        <v>#N/A</v>
      </c>
      <c r="T289">
        <f t="shared" si="58"/>
        <v>0</v>
      </c>
      <c r="U289">
        <f t="shared" si="59"/>
        <v>0</v>
      </c>
      <c r="V289">
        <f t="shared" si="60"/>
        <v>0</v>
      </c>
      <c r="W289">
        <f t="shared" si="61"/>
        <v>0</v>
      </c>
      <c r="X289">
        <f t="shared" si="62"/>
        <v>0</v>
      </c>
      <c r="Y289">
        <f t="shared" si="63"/>
        <v>0</v>
      </c>
      <c r="Z289" s="150" t="str">
        <f t="shared" si="64"/>
        <v>No</v>
      </c>
      <c r="AA289" s="150" t="str">
        <f t="shared" si="65"/>
        <v>No</v>
      </c>
      <c r="AB289">
        <f t="shared" si="66"/>
        <v>0</v>
      </c>
      <c r="AC289">
        <f t="shared" si="67"/>
        <v>0</v>
      </c>
      <c r="AD289" t="str">
        <f t="shared" si="68"/>
        <v>No</v>
      </c>
      <c r="AE289" t="str">
        <f t="shared" si="69"/>
        <v>No</v>
      </c>
    </row>
    <row r="290" spans="1:31" x14ac:dyDescent="0.25">
      <c r="A290" s="227"/>
      <c r="B290" s="228"/>
      <c r="C290" s="228"/>
      <c r="D290" s="229"/>
      <c r="E290" s="229"/>
      <c r="F290" s="229"/>
      <c r="G290" s="229"/>
      <c r="H290" s="230"/>
      <c r="I290" s="229"/>
      <c r="J290" s="220"/>
      <c r="K290" s="216"/>
      <c r="L290" s="216"/>
      <c r="M290" s="217"/>
      <c r="N290" s="217"/>
      <c r="O290" s="217"/>
      <c r="P290" s="213" t="str">
        <f t="shared" si="56"/>
        <v>No</v>
      </c>
      <c r="Q290" s="148" t="str">
        <f t="shared" si="57"/>
        <v>No</v>
      </c>
      <c r="R290" t="e">
        <f>VLOOKUP(F290, Property!A:B, 2,0)</f>
        <v>#N/A</v>
      </c>
      <c r="T290">
        <f t="shared" si="58"/>
        <v>0</v>
      </c>
      <c r="U290">
        <f t="shared" si="59"/>
        <v>0</v>
      </c>
      <c r="V290">
        <f t="shared" si="60"/>
        <v>0</v>
      </c>
      <c r="W290">
        <f t="shared" si="61"/>
        <v>0</v>
      </c>
      <c r="X290">
        <f t="shared" si="62"/>
        <v>0</v>
      </c>
      <c r="Y290">
        <f t="shared" si="63"/>
        <v>0</v>
      </c>
      <c r="Z290" s="150" t="str">
        <f t="shared" si="64"/>
        <v>No</v>
      </c>
      <c r="AA290" s="150" t="str">
        <f t="shared" si="65"/>
        <v>No</v>
      </c>
      <c r="AB290">
        <f t="shared" si="66"/>
        <v>0</v>
      </c>
      <c r="AC290">
        <f t="shared" si="67"/>
        <v>0</v>
      </c>
      <c r="AD290" t="str">
        <f t="shared" si="68"/>
        <v>No</v>
      </c>
      <c r="AE290" t="str">
        <f t="shared" si="69"/>
        <v>No</v>
      </c>
    </row>
    <row r="291" spans="1:31" x14ac:dyDescent="0.25">
      <c r="A291" s="227"/>
      <c r="B291" s="228"/>
      <c r="C291" s="228"/>
      <c r="D291" s="229"/>
      <c r="E291" s="229"/>
      <c r="F291" s="229"/>
      <c r="G291" s="229"/>
      <c r="H291" s="230"/>
      <c r="I291" s="229"/>
      <c r="J291" s="220"/>
      <c r="K291" s="216"/>
      <c r="L291" s="216"/>
      <c r="M291" s="217"/>
      <c r="N291" s="217"/>
      <c r="O291" s="217"/>
      <c r="P291" s="213" t="str">
        <f t="shared" si="56"/>
        <v>No</v>
      </c>
      <c r="Q291" s="148" t="str">
        <f t="shared" si="57"/>
        <v>No</v>
      </c>
      <c r="R291" t="e">
        <f>VLOOKUP(F291, Property!A:B, 2,0)</f>
        <v>#N/A</v>
      </c>
      <c r="T291">
        <f t="shared" si="58"/>
        <v>0</v>
      </c>
      <c r="U291">
        <f t="shared" si="59"/>
        <v>0</v>
      </c>
      <c r="V291">
        <f t="shared" si="60"/>
        <v>0</v>
      </c>
      <c r="W291">
        <f t="shared" si="61"/>
        <v>0</v>
      </c>
      <c r="X291">
        <f t="shared" si="62"/>
        <v>0</v>
      </c>
      <c r="Y291">
        <f t="shared" si="63"/>
        <v>0</v>
      </c>
      <c r="Z291" s="150" t="str">
        <f t="shared" si="64"/>
        <v>No</v>
      </c>
      <c r="AA291" s="150" t="str">
        <f t="shared" si="65"/>
        <v>No</v>
      </c>
      <c r="AB291">
        <f t="shared" si="66"/>
        <v>0</v>
      </c>
      <c r="AC291">
        <f t="shared" si="67"/>
        <v>0</v>
      </c>
      <c r="AD291" t="str">
        <f t="shared" si="68"/>
        <v>No</v>
      </c>
      <c r="AE291" t="str">
        <f t="shared" si="69"/>
        <v>No</v>
      </c>
    </row>
    <row r="292" spans="1:31" x14ac:dyDescent="0.25">
      <c r="A292" s="227"/>
      <c r="B292" s="228"/>
      <c r="C292" s="228"/>
      <c r="D292" s="229"/>
      <c r="E292" s="229"/>
      <c r="F292" s="229"/>
      <c r="G292" s="229"/>
      <c r="H292" s="230"/>
      <c r="I292" s="229"/>
      <c r="J292" s="220"/>
      <c r="K292" s="216"/>
      <c r="L292" s="216"/>
      <c r="M292" s="217"/>
      <c r="N292" s="217"/>
      <c r="O292" s="217"/>
      <c r="P292" s="213" t="str">
        <f t="shared" si="56"/>
        <v>No</v>
      </c>
      <c r="Q292" s="148" t="str">
        <f t="shared" si="57"/>
        <v>No</v>
      </c>
      <c r="R292" t="e">
        <f>VLOOKUP(F292, Property!A:B, 2,0)</f>
        <v>#N/A</v>
      </c>
      <c r="T292">
        <f t="shared" si="58"/>
        <v>0</v>
      </c>
      <c r="U292">
        <f t="shared" si="59"/>
        <v>0</v>
      </c>
      <c r="V292">
        <f t="shared" si="60"/>
        <v>0</v>
      </c>
      <c r="W292">
        <f t="shared" si="61"/>
        <v>0</v>
      </c>
      <c r="X292">
        <f t="shared" si="62"/>
        <v>0</v>
      </c>
      <c r="Y292">
        <f t="shared" si="63"/>
        <v>0</v>
      </c>
      <c r="Z292" s="150" t="str">
        <f t="shared" si="64"/>
        <v>No</v>
      </c>
      <c r="AA292" s="150" t="str">
        <f t="shared" si="65"/>
        <v>No</v>
      </c>
      <c r="AB292">
        <f t="shared" si="66"/>
        <v>0</v>
      </c>
      <c r="AC292">
        <f t="shared" si="67"/>
        <v>0</v>
      </c>
      <c r="AD292" t="str">
        <f t="shared" si="68"/>
        <v>No</v>
      </c>
      <c r="AE292" t="str">
        <f t="shared" si="69"/>
        <v>No</v>
      </c>
    </row>
    <row r="293" spans="1:31" x14ac:dyDescent="0.25">
      <c r="A293" s="227"/>
      <c r="B293" s="228"/>
      <c r="C293" s="228"/>
      <c r="D293" s="229"/>
      <c r="E293" s="229"/>
      <c r="F293" s="229"/>
      <c r="G293" s="229"/>
      <c r="H293" s="230"/>
      <c r="I293" s="229"/>
      <c r="J293" s="220"/>
      <c r="K293" s="216"/>
      <c r="L293" s="216"/>
      <c r="M293" s="217"/>
      <c r="N293" s="217"/>
      <c r="O293" s="217"/>
      <c r="P293" s="213" t="str">
        <f t="shared" si="56"/>
        <v>No</v>
      </c>
      <c r="Q293" s="148" t="str">
        <f t="shared" si="57"/>
        <v>No</v>
      </c>
      <c r="R293" t="e">
        <f>VLOOKUP(F293, Property!A:B, 2,0)</f>
        <v>#N/A</v>
      </c>
      <c r="T293">
        <f t="shared" si="58"/>
        <v>0</v>
      </c>
      <c r="U293">
        <f t="shared" si="59"/>
        <v>0</v>
      </c>
      <c r="V293">
        <f t="shared" si="60"/>
        <v>0</v>
      </c>
      <c r="W293">
        <f t="shared" si="61"/>
        <v>0</v>
      </c>
      <c r="X293">
        <f t="shared" si="62"/>
        <v>0</v>
      </c>
      <c r="Y293">
        <f t="shared" si="63"/>
        <v>0</v>
      </c>
      <c r="Z293" s="150" t="str">
        <f t="shared" si="64"/>
        <v>No</v>
      </c>
      <c r="AA293" s="150" t="str">
        <f t="shared" si="65"/>
        <v>No</v>
      </c>
      <c r="AB293">
        <f t="shared" si="66"/>
        <v>0</v>
      </c>
      <c r="AC293">
        <f t="shared" si="67"/>
        <v>0</v>
      </c>
      <c r="AD293" t="str">
        <f t="shared" si="68"/>
        <v>No</v>
      </c>
      <c r="AE293" t="str">
        <f t="shared" si="69"/>
        <v>No</v>
      </c>
    </row>
    <row r="294" spans="1:31" x14ac:dyDescent="0.25">
      <c r="A294" s="227"/>
      <c r="B294" s="228"/>
      <c r="C294" s="228"/>
      <c r="D294" s="229"/>
      <c r="E294" s="229"/>
      <c r="F294" s="229"/>
      <c r="G294" s="229"/>
      <c r="H294" s="230"/>
      <c r="I294" s="229"/>
      <c r="J294" s="220"/>
      <c r="K294" s="216"/>
      <c r="L294" s="216"/>
      <c r="M294" s="217"/>
      <c r="N294" s="217"/>
      <c r="O294" s="217"/>
      <c r="P294" s="213" t="str">
        <f t="shared" si="56"/>
        <v>No</v>
      </c>
      <c r="Q294" s="148" t="str">
        <f t="shared" si="57"/>
        <v>No</v>
      </c>
      <c r="R294" t="e">
        <f>VLOOKUP(F294, Property!A:B, 2,0)</f>
        <v>#N/A</v>
      </c>
      <c r="T294">
        <f t="shared" si="58"/>
        <v>0</v>
      </c>
      <c r="U294">
        <f t="shared" si="59"/>
        <v>0</v>
      </c>
      <c r="V294">
        <f t="shared" si="60"/>
        <v>0</v>
      </c>
      <c r="W294">
        <f t="shared" si="61"/>
        <v>0</v>
      </c>
      <c r="X294">
        <f t="shared" si="62"/>
        <v>0</v>
      </c>
      <c r="Y294">
        <f t="shared" si="63"/>
        <v>0</v>
      </c>
      <c r="Z294" s="150" t="str">
        <f t="shared" si="64"/>
        <v>No</v>
      </c>
      <c r="AA294" s="150" t="str">
        <f t="shared" si="65"/>
        <v>No</v>
      </c>
      <c r="AB294">
        <f t="shared" si="66"/>
        <v>0</v>
      </c>
      <c r="AC294">
        <f t="shared" si="67"/>
        <v>0</v>
      </c>
      <c r="AD294" t="str">
        <f t="shared" si="68"/>
        <v>No</v>
      </c>
      <c r="AE294" t="str">
        <f t="shared" si="69"/>
        <v>No</v>
      </c>
    </row>
    <row r="295" spans="1:31" x14ac:dyDescent="0.25">
      <c r="A295" s="227"/>
      <c r="B295" s="228"/>
      <c r="C295" s="228"/>
      <c r="D295" s="229"/>
      <c r="E295" s="229"/>
      <c r="F295" s="229"/>
      <c r="G295" s="229"/>
      <c r="H295" s="230"/>
      <c r="I295" s="229"/>
      <c r="J295" s="220"/>
      <c r="K295" s="216"/>
      <c r="L295" s="216"/>
      <c r="M295" s="217"/>
      <c r="N295" s="217"/>
      <c r="O295" s="217"/>
      <c r="P295" s="213" t="str">
        <f t="shared" si="56"/>
        <v>No</v>
      </c>
      <c r="Q295" s="148" t="str">
        <f t="shared" si="57"/>
        <v>No</v>
      </c>
      <c r="R295" t="e">
        <f>VLOOKUP(F295, Property!A:B, 2,0)</f>
        <v>#N/A</v>
      </c>
      <c r="T295">
        <f t="shared" si="58"/>
        <v>0</v>
      </c>
      <c r="U295">
        <f t="shared" si="59"/>
        <v>0</v>
      </c>
      <c r="V295">
        <f t="shared" si="60"/>
        <v>0</v>
      </c>
      <c r="W295">
        <f t="shared" si="61"/>
        <v>0</v>
      </c>
      <c r="X295">
        <f t="shared" si="62"/>
        <v>0</v>
      </c>
      <c r="Y295">
        <f t="shared" si="63"/>
        <v>0</v>
      </c>
      <c r="Z295" s="150" t="str">
        <f t="shared" si="64"/>
        <v>No</v>
      </c>
      <c r="AA295" s="150" t="str">
        <f t="shared" si="65"/>
        <v>No</v>
      </c>
      <c r="AB295">
        <f t="shared" si="66"/>
        <v>0</v>
      </c>
      <c r="AC295">
        <f t="shared" si="67"/>
        <v>0</v>
      </c>
      <c r="AD295" t="str">
        <f t="shared" si="68"/>
        <v>No</v>
      </c>
      <c r="AE295" t="str">
        <f t="shared" si="69"/>
        <v>No</v>
      </c>
    </row>
    <row r="296" spans="1:31" x14ac:dyDescent="0.25">
      <c r="A296" s="227"/>
      <c r="B296" s="228"/>
      <c r="C296" s="228"/>
      <c r="D296" s="229"/>
      <c r="E296" s="229"/>
      <c r="F296" s="229"/>
      <c r="G296" s="229"/>
      <c r="H296" s="230"/>
      <c r="I296" s="229"/>
      <c r="J296" s="220"/>
      <c r="K296" s="216"/>
      <c r="L296" s="216"/>
      <c r="M296" s="217"/>
      <c r="N296" s="217"/>
      <c r="O296" s="217"/>
      <c r="P296" s="213" t="str">
        <f t="shared" si="56"/>
        <v>No</v>
      </c>
      <c r="Q296" s="148" t="str">
        <f t="shared" si="57"/>
        <v>No</v>
      </c>
      <c r="R296" t="e">
        <f>VLOOKUP(F296, Property!A:B, 2,0)</f>
        <v>#N/A</v>
      </c>
      <c r="T296">
        <f t="shared" si="58"/>
        <v>0</v>
      </c>
      <c r="U296">
        <f t="shared" si="59"/>
        <v>0</v>
      </c>
      <c r="V296">
        <f t="shared" si="60"/>
        <v>0</v>
      </c>
      <c r="W296">
        <f t="shared" si="61"/>
        <v>0</v>
      </c>
      <c r="X296">
        <f t="shared" si="62"/>
        <v>0</v>
      </c>
      <c r="Y296">
        <f t="shared" si="63"/>
        <v>0</v>
      </c>
      <c r="Z296" s="150" t="str">
        <f t="shared" si="64"/>
        <v>No</v>
      </c>
      <c r="AA296" s="150" t="str">
        <f t="shared" si="65"/>
        <v>No</v>
      </c>
      <c r="AB296">
        <f t="shared" si="66"/>
        <v>0</v>
      </c>
      <c r="AC296">
        <f t="shared" si="67"/>
        <v>0</v>
      </c>
      <c r="AD296" t="str">
        <f t="shared" si="68"/>
        <v>No</v>
      </c>
      <c r="AE296" t="str">
        <f t="shared" si="69"/>
        <v>No</v>
      </c>
    </row>
    <row r="297" spans="1:31" x14ac:dyDescent="0.25">
      <c r="A297" s="227"/>
      <c r="B297" s="228"/>
      <c r="C297" s="228"/>
      <c r="D297" s="229"/>
      <c r="E297" s="229"/>
      <c r="F297" s="229"/>
      <c r="G297" s="229"/>
      <c r="H297" s="230"/>
      <c r="I297" s="229"/>
      <c r="J297" s="220"/>
      <c r="K297" s="216"/>
      <c r="L297" s="216"/>
      <c r="M297" s="217"/>
      <c r="N297" s="217"/>
      <c r="O297" s="217"/>
      <c r="P297" s="213" t="str">
        <f t="shared" si="56"/>
        <v>No</v>
      </c>
      <c r="Q297" s="148" t="str">
        <f t="shared" si="57"/>
        <v>No</v>
      </c>
      <c r="R297" t="e">
        <f>VLOOKUP(F297, Property!A:B, 2,0)</f>
        <v>#N/A</v>
      </c>
      <c r="T297">
        <f t="shared" si="58"/>
        <v>0</v>
      </c>
      <c r="U297">
        <f t="shared" si="59"/>
        <v>0</v>
      </c>
      <c r="V297">
        <f t="shared" si="60"/>
        <v>0</v>
      </c>
      <c r="W297">
        <f t="shared" si="61"/>
        <v>0</v>
      </c>
      <c r="X297">
        <f t="shared" si="62"/>
        <v>0</v>
      </c>
      <c r="Y297">
        <f t="shared" si="63"/>
        <v>0</v>
      </c>
      <c r="Z297" s="150" t="str">
        <f t="shared" si="64"/>
        <v>No</v>
      </c>
      <c r="AA297" s="150" t="str">
        <f t="shared" si="65"/>
        <v>No</v>
      </c>
      <c r="AB297">
        <f t="shared" si="66"/>
        <v>0</v>
      </c>
      <c r="AC297">
        <f t="shared" si="67"/>
        <v>0</v>
      </c>
      <c r="AD297" t="str">
        <f t="shared" si="68"/>
        <v>No</v>
      </c>
      <c r="AE297" t="str">
        <f t="shared" si="69"/>
        <v>No</v>
      </c>
    </row>
    <row r="298" spans="1:31" x14ac:dyDescent="0.25">
      <c r="A298" s="227"/>
      <c r="B298" s="228"/>
      <c r="C298" s="228"/>
      <c r="D298" s="229"/>
      <c r="E298" s="229"/>
      <c r="F298" s="229"/>
      <c r="G298" s="229"/>
      <c r="H298" s="230"/>
      <c r="I298" s="229"/>
      <c r="J298" s="220"/>
      <c r="K298" s="216"/>
      <c r="L298" s="216"/>
      <c r="M298" s="217"/>
      <c r="N298" s="217"/>
      <c r="O298" s="217"/>
      <c r="P298" s="213" t="str">
        <f t="shared" si="56"/>
        <v>No</v>
      </c>
      <c r="Q298" s="148" t="str">
        <f t="shared" si="57"/>
        <v>No</v>
      </c>
      <c r="R298" t="e">
        <f>VLOOKUP(F298, Property!A:B, 2,0)</f>
        <v>#N/A</v>
      </c>
      <c r="T298">
        <f t="shared" si="58"/>
        <v>0</v>
      </c>
      <c r="U298">
        <f t="shared" si="59"/>
        <v>0</v>
      </c>
      <c r="V298">
        <f t="shared" si="60"/>
        <v>0</v>
      </c>
      <c r="W298">
        <f t="shared" si="61"/>
        <v>0</v>
      </c>
      <c r="X298">
        <f t="shared" si="62"/>
        <v>0</v>
      </c>
      <c r="Y298">
        <f t="shared" si="63"/>
        <v>0</v>
      </c>
      <c r="Z298" s="150" t="str">
        <f t="shared" si="64"/>
        <v>No</v>
      </c>
      <c r="AA298" s="150" t="str">
        <f t="shared" si="65"/>
        <v>No</v>
      </c>
      <c r="AB298">
        <f t="shared" si="66"/>
        <v>0</v>
      </c>
      <c r="AC298">
        <f t="shared" si="67"/>
        <v>0</v>
      </c>
      <c r="AD298" t="str">
        <f t="shared" si="68"/>
        <v>No</v>
      </c>
      <c r="AE298" t="str">
        <f t="shared" si="69"/>
        <v>No</v>
      </c>
    </row>
    <row r="299" spans="1:31" x14ac:dyDescent="0.25">
      <c r="A299" s="227"/>
      <c r="B299" s="228"/>
      <c r="C299" s="228"/>
      <c r="D299" s="229"/>
      <c r="E299" s="229"/>
      <c r="F299" s="229"/>
      <c r="G299" s="229"/>
      <c r="H299" s="230"/>
      <c r="I299" s="229"/>
      <c r="J299" s="220"/>
      <c r="K299" s="216"/>
      <c r="L299" s="216"/>
      <c r="M299" s="217"/>
      <c r="N299" s="217"/>
      <c r="O299" s="217"/>
      <c r="P299" s="213" t="str">
        <f t="shared" si="56"/>
        <v>No</v>
      </c>
      <c r="Q299" s="148" t="str">
        <f t="shared" si="57"/>
        <v>No</v>
      </c>
      <c r="R299" t="e">
        <f>VLOOKUP(F299, Property!A:B, 2,0)</f>
        <v>#N/A</v>
      </c>
      <c r="T299">
        <f t="shared" si="58"/>
        <v>0</v>
      </c>
      <c r="U299">
        <f t="shared" si="59"/>
        <v>0</v>
      </c>
      <c r="V299">
        <f t="shared" si="60"/>
        <v>0</v>
      </c>
      <c r="W299">
        <f t="shared" si="61"/>
        <v>0</v>
      </c>
      <c r="X299">
        <f t="shared" si="62"/>
        <v>0</v>
      </c>
      <c r="Y299">
        <f t="shared" si="63"/>
        <v>0</v>
      </c>
      <c r="Z299" s="150" t="str">
        <f t="shared" si="64"/>
        <v>No</v>
      </c>
      <c r="AA299" s="150" t="str">
        <f t="shared" si="65"/>
        <v>No</v>
      </c>
      <c r="AB299">
        <f t="shared" si="66"/>
        <v>0</v>
      </c>
      <c r="AC299">
        <f t="shared" si="67"/>
        <v>0</v>
      </c>
      <c r="AD299" t="str">
        <f t="shared" si="68"/>
        <v>No</v>
      </c>
      <c r="AE299" t="str">
        <f t="shared" si="69"/>
        <v>No</v>
      </c>
    </row>
    <row r="300" spans="1:31" x14ac:dyDescent="0.25">
      <c r="A300" s="227"/>
      <c r="B300" s="228"/>
      <c r="C300" s="228"/>
      <c r="D300" s="229"/>
      <c r="E300" s="229"/>
      <c r="F300" s="229"/>
      <c r="G300" s="229"/>
      <c r="H300" s="230"/>
      <c r="I300" s="229"/>
      <c r="J300" s="220"/>
      <c r="K300" s="216"/>
      <c r="L300" s="216"/>
      <c r="M300" s="216"/>
      <c r="N300" s="217"/>
      <c r="O300" s="217"/>
      <c r="P300" s="213" t="str">
        <f t="shared" si="56"/>
        <v>No</v>
      </c>
      <c r="Q300" s="148" t="str">
        <f t="shared" si="57"/>
        <v>No</v>
      </c>
      <c r="R300" t="e">
        <f>VLOOKUP(F300, Property!A:B, 2,0)</f>
        <v>#N/A</v>
      </c>
      <c r="T300">
        <f t="shared" si="58"/>
        <v>0</v>
      </c>
      <c r="U300">
        <f t="shared" si="59"/>
        <v>0</v>
      </c>
      <c r="V300">
        <f t="shared" si="60"/>
        <v>0</v>
      </c>
      <c r="W300">
        <f t="shared" si="61"/>
        <v>0</v>
      </c>
      <c r="X300">
        <f t="shared" si="62"/>
        <v>0</v>
      </c>
      <c r="Y300">
        <f t="shared" si="63"/>
        <v>0</v>
      </c>
      <c r="Z300" s="150" t="str">
        <f t="shared" si="64"/>
        <v>No</v>
      </c>
      <c r="AA300" s="150" t="str">
        <f t="shared" si="65"/>
        <v>No</v>
      </c>
      <c r="AB300">
        <f t="shared" si="66"/>
        <v>0</v>
      </c>
      <c r="AC300">
        <f t="shared" si="67"/>
        <v>0</v>
      </c>
      <c r="AD300" t="str">
        <f t="shared" si="68"/>
        <v>No</v>
      </c>
      <c r="AE300" t="str">
        <f t="shared" si="69"/>
        <v>No</v>
      </c>
    </row>
    <row r="301" spans="1:31" x14ac:dyDescent="0.25">
      <c r="A301" s="227"/>
      <c r="B301" s="228"/>
      <c r="C301" s="228"/>
      <c r="D301" s="229"/>
      <c r="E301" s="229"/>
      <c r="F301" s="229"/>
      <c r="G301" s="229"/>
      <c r="H301" s="230"/>
      <c r="I301" s="229"/>
      <c r="J301" s="220"/>
      <c r="K301" s="216"/>
      <c r="L301" s="216"/>
      <c r="M301" s="217"/>
      <c r="N301" s="217"/>
      <c r="O301" s="217"/>
      <c r="P301" s="213" t="str">
        <f t="shared" si="56"/>
        <v>No</v>
      </c>
      <c r="Q301" s="148" t="str">
        <f t="shared" si="57"/>
        <v>No</v>
      </c>
      <c r="R301" t="e">
        <f>VLOOKUP(F301, Property!A:B, 2,0)</f>
        <v>#N/A</v>
      </c>
      <c r="T301">
        <f t="shared" si="58"/>
        <v>0</v>
      </c>
      <c r="U301">
        <f t="shared" si="59"/>
        <v>0</v>
      </c>
      <c r="V301">
        <f t="shared" si="60"/>
        <v>0</v>
      </c>
      <c r="W301">
        <f t="shared" si="61"/>
        <v>0</v>
      </c>
      <c r="X301">
        <f t="shared" si="62"/>
        <v>0</v>
      </c>
      <c r="Y301">
        <f t="shared" si="63"/>
        <v>0</v>
      </c>
      <c r="Z301" s="150" t="str">
        <f t="shared" si="64"/>
        <v>No</v>
      </c>
      <c r="AA301" s="150" t="str">
        <f t="shared" si="65"/>
        <v>No</v>
      </c>
      <c r="AB301">
        <f t="shared" si="66"/>
        <v>0</v>
      </c>
      <c r="AC301">
        <f t="shared" si="67"/>
        <v>0</v>
      </c>
      <c r="AD301" t="str">
        <f t="shared" si="68"/>
        <v>No</v>
      </c>
      <c r="AE301" t="str">
        <f t="shared" si="69"/>
        <v>No</v>
      </c>
    </row>
    <row r="302" spans="1:31" x14ac:dyDescent="0.25">
      <c r="A302" s="227"/>
      <c r="B302" s="228"/>
      <c r="C302" s="228"/>
      <c r="D302" s="229"/>
      <c r="E302" s="229"/>
      <c r="F302" s="229"/>
      <c r="G302" s="229"/>
      <c r="H302" s="230"/>
      <c r="I302" s="229"/>
      <c r="J302" s="220"/>
      <c r="K302" s="216"/>
      <c r="L302" s="216"/>
      <c r="M302" s="217"/>
      <c r="N302" s="217"/>
      <c r="O302" s="217"/>
      <c r="P302" s="213" t="str">
        <f t="shared" si="56"/>
        <v>No</v>
      </c>
      <c r="Q302" s="148" t="str">
        <f t="shared" si="57"/>
        <v>No</v>
      </c>
      <c r="R302" t="e">
        <f>VLOOKUP(F302, Property!A:B, 2,0)</f>
        <v>#N/A</v>
      </c>
      <c r="T302">
        <f t="shared" si="58"/>
        <v>0</v>
      </c>
      <c r="U302">
        <f t="shared" si="59"/>
        <v>0</v>
      </c>
      <c r="V302">
        <f t="shared" si="60"/>
        <v>0</v>
      </c>
      <c r="W302">
        <f t="shared" si="61"/>
        <v>0</v>
      </c>
      <c r="X302">
        <f t="shared" si="62"/>
        <v>0</v>
      </c>
      <c r="Y302">
        <f t="shared" si="63"/>
        <v>0</v>
      </c>
      <c r="Z302" s="150" t="str">
        <f t="shared" si="64"/>
        <v>No</v>
      </c>
      <c r="AA302" s="150" t="str">
        <f t="shared" si="65"/>
        <v>No</v>
      </c>
      <c r="AB302">
        <f t="shared" si="66"/>
        <v>0</v>
      </c>
      <c r="AC302">
        <f t="shared" si="67"/>
        <v>0</v>
      </c>
      <c r="AD302" t="str">
        <f t="shared" si="68"/>
        <v>No</v>
      </c>
      <c r="AE302" t="str">
        <f t="shared" si="69"/>
        <v>No</v>
      </c>
    </row>
    <row r="303" spans="1:31" x14ac:dyDescent="0.25">
      <c r="A303" s="227"/>
      <c r="B303" s="228"/>
      <c r="C303" s="228"/>
      <c r="D303" s="229"/>
      <c r="E303" s="229"/>
      <c r="F303" s="229"/>
      <c r="G303" s="229"/>
      <c r="H303" s="230"/>
      <c r="I303" s="229"/>
      <c r="J303" s="220"/>
      <c r="K303" s="216"/>
      <c r="L303" s="216"/>
      <c r="M303" s="217"/>
      <c r="N303" s="217"/>
      <c r="O303" s="217"/>
      <c r="P303" s="213" t="str">
        <f t="shared" si="56"/>
        <v>No</v>
      </c>
      <c r="Q303" s="148" t="str">
        <f t="shared" si="57"/>
        <v>No</v>
      </c>
      <c r="R303" t="e">
        <f>VLOOKUP(F303, Property!A:B, 2,0)</f>
        <v>#N/A</v>
      </c>
      <c r="T303">
        <f t="shared" si="58"/>
        <v>0</v>
      </c>
      <c r="U303">
        <f t="shared" si="59"/>
        <v>0</v>
      </c>
      <c r="V303">
        <f t="shared" si="60"/>
        <v>0</v>
      </c>
      <c r="W303">
        <f t="shared" si="61"/>
        <v>0</v>
      </c>
      <c r="X303">
        <f t="shared" si="62"/>
        <v>0</v>
      </c>
      <c r="Y303">
        <f t="shared" si="63"/>
        <v>0</v>
      </c>
      <c r="Z303" s="150" t="str">
        <f t="shared" si="64"/>
        <v>No</v>
      </c>
      <c r="AA303" s="150" t="str">
        <f t="shared" si="65"/>
        <v>No</v>
      </c>
      <c r="AB303">
        <f t="shared" si="66"/>
        <v>0</v>
      </c>
      <c r="AC303">
        <f t="shared" si="67"/>
        <v>0</v>
      </c>
      <c r="AD303" t="str">
        <f t="shared" si="68"/>
        <v>No</v>
      </c>
      <c r="AE303" t="str">
        <f t="shared" si="69"/>
        <v>No</v>
      </c>
    </row>
    <row r="304" spans="1:31" x14ac:dyDescent="0.25">
      <c r="A304" s="227"/>
      <c r="B304" s="228"/>
      <c r="C304" s="228"/>
      <c r="D304" s="229"/>
      <c r="E304" s="229"/>
      <c r="F304" s="229"/>
      <c r="G304" s="229"/>
      <c r="H304" s="230"/>
      <c r="I304" s="229"/>
      <c r="J304" s="220"/>
      <c r="K304" s="216"/>
      <c r="L304" s="216"/>
      <c r="M304" s="217"/>
      <c r="N304" s="217"/>
      <c r="O304" s="217"/>
      <c r="P304" s="213" t="str">
        <f t="shared" si="56"/>
        <v>No</v>
      </c>
      <c r="Q304" s="148" t="str">
        <f t="shared" si="57"/>
        <v>No</v>
      </c>
      <c r="R304" t="e">
        <f>VLOOKUP(F304, Property!A:B, 2,0)</f>
        <v>#N/A</v>
      </c>
      <c r="T304">
        <f t="shared" si="58"/>
        <v>0</v>
      </c>
      <c r="U304">
        <f t="shared" si="59"/>
        <v>0</v>
      </c>
      <c r="V304">
        <f t="shared" si="60"/>
        <v>0</v>
      </c>
      <c r="W304">
        <f t="shared" si="61"/>
        <v>0</v>
      </c>
      <c r="X304">
        <f t="shared" si="62"/>
        <v>0</v>
      </c>
      <c r="Y304">
        <f t="shared" si="63"/>
        <v>0</v>
      </c>
      <c r="Z304" s="150" t="str">
        <f t="shared" si="64"/>
        <v>No</v>
      </c>
      <c r="AA304" s="150" t="str">
        <f t="shared" si="65"/>
        <v>No</v>
      </c>
      <c r="AB304">
        <f t="shared" si="66"/>
        <v>0</v>
      </c>
      <c r="AC304">
        <f t="shared" si="67"/>
        <v>0</v>
      </c>
      <c r="AD304" t="str">
        <f t="shared" si="68"/>
        <v>No</v>
      </c>
      <c r="AE304" t="str">
        <f t="shared" si="69"/>
        <v>No</v>
      </c>
    </row>
    <row r="305" spans="1:31" x14ac:dyDescent="0.25">
      <c r="A305" s="227"/>
      <c r="B305" s="228"/>
      <c r="C305" s="228"/>
      <c r="D305" s="229"/>
      <c r="E305" s="229"/>
      <c r="F305" s="229"/>
      <c r="G305" s="229"/>
      <c r="H305" s="230"/>
      <c r="I305" s="229"/>
      <c r="J305" s="220"/>
      <c r="K305" s="216"/>
      <c r="L305" s="216"/>
      <c r="M305" s="217"/>
      <c r="N305" s="217"/>
      <c r="O305" s="217"/>
      <c r="P305" s="213" t="str">
        <f t="shared" si="56"/>
        <v>No</v>
      </c>
      <c r="Q305" s="148" t="str">
        <f t="shared" si="57"/>
        <v>No</v>
      </c>
      <c r="R305" t="e">
        <f>VLOOKUP(F305, Property!A:B, 2,0)</f>
        <v>#N/A</v>
      </c>
      <c r="T305">
        <f t="shared" si="58"/>
        <v>0</v>
      </c>
      <c r="U305">
        <f t="shared" si="59"/>
        <v>0</v>
      </c>
      <c r="V305">
        <f t="shared" si="60"/>
        <v>0</v>
      </c>
      <c r="W305">
        <f t="shared" si="61"/>
        <v>0</v>
      </c>
      <c r="X305">
        <f t="shared" si="62"/>
        <v>0</v>
      </c>
      <c r="Y305">
        <f t="shared" si="63"/>
        <v>0</v>
      </c>
      <c r="Z305" s="150" t="str">
        <f t="shared" si="64"/>
        <v>No</v>
      </c>
      <c r="AA305" s="150" t="str">
        <f t="shared" si="65"/>
        <v>No</v>
      </c>
      <c r="AB305">
        <f t="shared" si="66"/>
        <v>0</v>
      </c>
      <c r="AC305">
        <f t="shared" si="67"/>
        <v>0</v>
      </c>
      <c r="AD305" t="str">
        <f t="shared" si="68"/>
        <v>No</v>
      </c>
      <c r="AE305" t="str">
        <f t="shared" si="69"/>
        <v>No</v>
      </c>
    </row>
    <row r="306" spans="1:31" x14ac:dyDescent="0.25">
      <c r="A306" s="227"/>
      <c r="B306" s="228"/>
      <c r="C306" s="228"/>
      <c r="D306" s="229"/>
      <c r="E306" s="229"/>
      <c r="F306" s="229"/>
      <c r="G306" s="229"/>
      <c r="H306" s="230"/>
      <c r="I306" s="229"/>
      <c r="J306" s="220"/>
      <c r="K306" s="216"/>
      <c r="L306" s="216"/>
      <c r="M306" s="217"/>
      <c r="N306" s="217"/>
      <c r="O306" s="217"/>
      <c r="P306" s="213" t="str">
        <f t="shared" si="56"/>
        <v>No</v>
      </c>
      <c r="Q306" s="148" t="str">
        <f t="shared" si="57"/>
        <v>No</v>
      </c>
      <c r="R306" t="e">
        <f>VLOOKUP(F306, Property!A:B, 2,0)</f>
        <v>#N/A</v>
      </c>
      <c r="T306">
        <f t="shared" si="58"/>
        <v>0</v>
      </c>
      <c r="U306">
        <f t="shared" si="59"/>
        <v>0</v>
      </c>
      <c r="V306">
        <f t="shared" si="60"/>
        <v>0</v>
      </c>
      <c r="W306">
        <f t="shared" si="61"/>
        <v>0</v>
      </c>
      <c r="X306">
        <f t="shared" si="62"/>
        <v>0</v>
      </c>
      <c r="Y306">
        <f t="shared" si="63"/>
        <v>0</v>
      </c>
      <c r="Z306" s="150" t="str">
        <f t="shared" si="64"/>
        <v>No</v>
      </c>
      <c r="AA306" s="150" t="str">
        <f t="shared" si="65"/>
        <v>No</v>
      </c>
      <c r="AB306">
        <f t="shared" si="66"/>
        <v>0</v>
      </c>
      <c r="AC306">
        <f t="shared" si="67"/>
        <v>0</v>
      </c>
      <c r="AD306" t="str">
        <f t="shared" si="68"/>
        <v>No</v>
      </c>
      <c r="AE306" t="str">
        <f t="shared" si="69"/>
        <v>No</v>
      </c>
    </row>
    <row r="307" spans="1:31" x14ac:dyDescent="0.25">
      <c r="A307" s="227"/>
      <c r="B307" s="228"/>
      <c r="C307" s="228"/>
      <c r="D307" s="229"/>
      <c r="E307" s="229"/>
      <c r="F307" s="229"/>
      <c r="G307" s="229"/>
      <c r="H307" s="230"/>
      <c r="I307" s="229"/>
      <c r="J307" s="220"/>
      <c r="K307" s="216"/>
      <c r="L307" s="216"/>
      <c r="M307" s="217"/>
      <c r="N307" s="217"/>
      <c r="O307" s="217"/>
      <c r="P307" s="213" t="str">
        <f t="shared" si="56"/>
        <v>No</v>
      </c>
      <c r="Q307" s="148" t="str">
        <f t="shared" si="57"/>
        <v>No</v>
      </c>
      <c r="R307" t="e">
        <f>VLOOKUP(F307, Property!A:B, 2,0)</f>
        <v>#N/A</v>
      </c>
      <c r="T307">
        <f t="shared" si="58"/>
        <v>0</v>
      </c>
      <c r="U307">
        <f t="shared" si="59"/>
        <v>0</v>
      </c>
      <c r="V307">
        <f t="shared" si="60"/>
        <v>0</v>
      </c>
      <c r="W307">
        <f t="shared" si="61"/>
        <v>0</v>
      </c>
      <c r="X307">
        <f t="shared" si="62"/>
        <v>0</v>
      </c>
      <c r="Y307">
        <f t="shared" si="63"/>
        <v>0</v>
      </c>
      <c r="Z307" s="150" t="str">
        <f t="shared" si="64"/>
        <v>No</v>
      </c>
      <c r="AA307" s="150" t="str">
        <f t="shared" si="65"/>
        <v>No</v>
      </c>
      <c r="AB307">
        <f t="shared" si="66"/>
        <v>0</v>
      </c>
      <c r="AC307">
        <f t="shared" si="67"/>
        <v>0</v>
      </c>
      <c r="AD307" t="str">
        <f t="shared" si="68"/>
        <v>No</v>
      </c>
      <c r="AE307" t="str">
        <f t="shared" si="69"/>
        <v>No</v>
      </c>
    </row>
    <row r="308" spans="1:31" x14ac:dyDescent="0.25">
      <c r="A308" s="227"/>
      <c r="B308" s="228"/>
      <c r="C308" s="228"/>
      <c r="D308" s="229"/>
      <c r="E308" s="229"/>
      <c r="F308" s="229"/>
      <c r="G308" s="229"/>
      <c r="H308" s="230"/>
      <c r="I308" s="229"/>
      <c r="J308" s="220"/>
      <c r="K308" s="216"/>
      <c r="L308" s="216"/>
      <c r="M308" s="217"/>
      <c r="N308" s="217"/>
      <c r="O308" s="217"/>
      <c r="P308" s="213" t="str">
        <f t="shared" si="56"/>
        <v>No</v>
      </c>
      <c r="Q308" s="148" t="str">
        <f t="shared" si="57"/>
        <v>No</v>
      </c>
      <c r="R308" t="e">
        <f>VLOOKUP(F308, Property!A:B, 2,0)</f>
        <v>#N/A</v>
      </c>
      <c r="T308">
        <f t="shared" si="58"/>
        <v>0</v>
      </c>
      <c r="U308">
        <f t="shared" si="59"/>
        <v>0</v>
      </c>
      <c r="V308">
        <f t="shared" si="60"/>
        <v>0</v>
      </c>
      <c r="W308">
        <f t="shared" si="61"/>
        <v>0</v>
      </c>
      <c r="X308">
        <f t="shared" si="62"/>
        <v>0</v>
      </c>
      <c r="Y308">
        <f t="shared" si="63"/>
        <v>0</v>
      </c>
      <c r="Z308" s="150" t="str">
        <f t="shared" si="64"/>
        <v>No</v>
      </c>
      <c r="AA308" s="150" t="str">
        <f t="shared" si="65"/>
        <v>No</v>
      </c>
      <c r="AB308">
        <f t="shared" si="66"/>
        <v>0</v>
      </c>
      <c r="AC308">
        <f t="shared" si="67"/>
        <v>0</v>
      </c>
      <c r="AD308" t="str">
        <f t="shared" si="68"/>
        <v>No</v>
      </c>
      <c r="AE308" t="str">
        <f t="shared" si="69"/>
        <v>No</v>
      </c>
    </row>
    <row r="309" spans="1:31" x14ac:dyDescent="0.25">
      <c r="A309" s="227"/>
      <c r="B309" s="228"/>
      <c r="C309" s="228"/>
      <c r="D309" s="229"/>
      <c r="E309" s="229"/>
      <c r="F309" s="229"/>
      <c r="G309" s="229"/>
      <c r="H309" s="230"/>
      <c r="I309" s="229"/>
      <c r="J309" s="220"/>
      <c r="K309" s="216"/>
      <c r="L309" s="216"/>
      <c r="M309" s="217"/>
      <c r="N309" s="217"/>
      <c r="O309" s="217"/>
      <c r="P309" s="213" t="str">
        <f t="shared" si="56"/>
        <v>No</v>
      </c>
      <c r="Q309" s="148" t="str">
        <f t="shared" si="57"/>
        <v>No</v>
      </c>
      <c r="R309" t="e">
        <f>VLOOKUP(F309, Property!A:B, 2,0)</f>
        <v>#N/A</v>
      </c>
      <c r="T309">
        <f t="shared" si="58"/>
        <v>0</v>
      </c>
      <c r="U309">
        <f t="shared" si="59"/>
        <v>0</v>
      </c>
      <c r="V309">
        <f t="shared" si="60"/>
        <v>0</v>
      </c>
      <c r="W309">
        <f t="shared" si="61"/>
        <v>0</v>
      </c>
      <c r="X309">
        <f t="shared" si="62"/>
        <v>0</v>
      </c>
      <c r="Y309">
        <f t="shared" si="63"/>
        <v>0</v>
      </c>
      <c r="Z309" s="150" t="str">
        <f t="shared" si="64"/>
        <v>No</v>
      </c>
      <c r="AA309" s="150" t="str">
        <f t="shared" si="65"/>
        <v>No</v>
      </c>
      <c r="AB309">
        <f t="shared" si="66"/>
        <v>0</v>
      </c>
      <c r="AC309">
        <f t="shared" si="67"/>
        <v>0</v>
      </c>
      <c r="AD309" t="str">
        <f t="shared" si="68"/>
        <v>No</v>
      </c>
      <c r="AE309" t="str">
        <f t="shared" si="69"/>
        <v>No</v>
      </c>
    </row>
    <row r="310" spans="1:31" x14ac:dyDescent="0.25">
      <c r="A310" s="227"/>
      <c r="B310" s="228"/>
      <c r="C310" s="228"/>
      <c r="D310" s="229"/>
      <c r="E310" s="229"/>
      <c r="F310" s="229"/>
      <c r="G310" s="229"/>
      <c r="H310" s="230"/>
      <c r="I310" s="229"/>
      <c r="J310" s="220"/>
      <c r="K310" s="216"/>
      <c r="L310" s="216"/>
      <c r="M310" s="217"/>
      <c r="N310" s="217"/>
      <c r="O310" s="217"/>
      <c r="P310" s="213" t="str">
        <f t="shared" si="56"/>
        <v>No</v>
      </c>
      <c r="Q310" s="148" t="str">
        <f t="shared" si="57"/>
        <v>No</v>
      </c>
      <c r="R310" t="e">
        <f>VLOOKUP(F310, Property!A:B, 2,0)</f>
        <v>#N/A</v>
      </c>
      <c r="T310">
        <f t="shared" si="58"/>
        <v>0</v>
      </c>
      <c r="U310">
        <f t="shared" si="59"/>
        <v>0</v>
      </c>
      <c r="V310">
        <f t="shared" si="60"/>
        <v>0</v>
      </c>
      <c r="W310">
        <f t="shared" si="61"/>
        <v>0</v>
      </c>
      <c r="X310">
        <f t="shared" si="62"/>
        <v>0</v>
      </c>
      <c r="Y310">
        <f t="shared" si="63"/>
        <v>0</v>
      </c>
      <c r="Z310" s="150" t="str">
        <f t="shared" si="64"/>
        <v>No</v>
      </c>
      <c r="AA310" s="150" t="str">
        <f t="shared" si="65"/>
        <v>No</v>
      </c>
      <c r="AB310">
        <f t="shared" si="66"/>
        <v>0</v>
      </c>
      <c r="AC310">
        <f t="shared" si="67"/>
        <v>0</v>
      </c>
      <c r="AD310" t="str">
        <f t="shared" si="68"/>
        <v>No</v>
      </c>
      <c r="AE310" t="str">
        <f t="shared" si="69"/>
        <v>No</v>
      </c>
    </row>
    <row r="311" spans="1:31" x14ac:dyDescent="0.25">
      <c r="A311" s="227"/>
      <c r="B311" s="228"/>
      <c r="C311" s="228"/>
      <c r="D311" s="229"/>
      <c r="E311" s="229"/>
      <c r="F311" s="229"/>
      <c r="G311" s="229"/>
      <c r="H311" s="230"/>
      <c r="I311" s="229"/>
      <c r="J311" s="220"/>
      <c r="K311" s="216"/>
      <c r="L311" s="216"/>
      <c r="M311" s="217"/>
      <c r="N311" s="217"/>
      <c r="O311" s="217"/>
      <c r="P311" s="213" t="str">
        <f t="shared" si="56"/>
        <v>No</v>
      </c>
      <c r="Q311" s="148" t="str">
        <f t="shared" si="57"/>
        <v>No</v>
      </c>
      <c r="R311" t="e">
        <f>VLOOKUP(F311, Property!A:B, 2,0)</f>
        <v>#N/A</v>
      </c>
      <c r="T311">
        <f t="shared" si="58"/>
        <v>0</v>
      </c>
      <c r="U311">
        <f t="shared" si="59"/>
        <v>0</v>
      </c>
      <c r="V311">
        <f t="shared" si="60"/>
        <v>0</v>
      </c>
      <c r="W311">
        <f t="shared" si="61"/>
        <v>0</v>
      </c>
      <c r="X311">
        <f t="shared" si="62"/>
        <v>0</v>
      </c>
      <c r="Y311">
        <f t="shared" si="63"/>
        <v>0</v>
      </c>
      <c r="Z311" s="150" t="str">
        <f t="shared" si="64"/>
        <v>No</v>
      </c>
      <c r="AA311" s="150" t="str">
        <f t="shared" si="65"/>
        <v>No</v>
      </c>
      <c r="AB311">
        <f t="shared" si="66"/>
        <v>0</v>
      </c>
      <c r="AC311">
        <f t="shared" si="67"/>
        <v>0</v>
      </c>
      <c r="AD311" t="str">
        <f t="shared" si="68"/>
        <v>No</v>
      </c>
      <c r="AE311" t="str">
        <f t="shared" si="69"/>
        <v>No</v>
      </c>
    </row>
    <row r="312" spans="1:31" x14ac:dyDescent="0.25">
      <c r="A312" s="227"/>
      <c r="B312" s="228"/>
      <c r="C312" s="228"/>
      <c r="D312" s="229"/>
      <c r="E312" s="229"/>
      <c r="F312" s="229"/>
      <c r="G312" s="229"/>
      <c r="H312" s="230"/>
      <c r="I312" s="229"/>
      <c r="J312" s="220"/>
      <c r="K312" s="216"/>
      <c r="L312" s="216"/>
      <c r="M312" s="217"/>
      <c r="N312" s="217"/>
      <c r="O312" s="217"/>
      <c r="P312" s="213" t="str">
        <f t="shared" si="56"/>
        <v>No</v>
      </c>
      <c r="Q312" s="148" t="str">
        <f t="shared" si="57"/>
        <v>No</v>
      </c>
      <c r="R312" t="e">
        <f>VLOOKUP(F312, Property!A:B, 2,0)</f>
        <v>#N/A</v>
      </c>
      <c r="T312">
        <f t="shared" si="58"/>
        <v>0</v>
      </c>
      <c r="U312">
        <f t="shared" si="59"/>
        <v>0</v>
      </c>
      <c r="V312">
        <f t="shared" si="60"/>
        <v>0</v>
      </c>
      <c r="W312">
        <f t="shared" si="61"/>
        <v>0</v>
      </c>
      <c r="X312">
        <f t="shared" si="62"/>
        <v>0</v>
      </c>
      <c r="Y312">
        <f t="shared" si="63"/>
        <v>0</v>
      </c>
      <c r="Z312" s="150" t="str">
        <f t="shared" si="64"/>
        <v>No</v>
      </c>
      <c r="AA312" s="150" t="str">
        <f t="shared" si="65"/>
        <v>No</v>
      </c>
      <c r="AB312">
        <f t="shared" si="66"/>
        <v>0</v>
      </c>
      <c r="AC312">
        <f t="shared" si="67"/>
        <v>0</v>
      </c>
      <c r="AD312" t="str">
        <f t="shared" si="68"/>
        <v>No</v>
      </c>
      <c r="AE312" t="str">
        <f t="shared" si="69"/>
        <v>No</v>
      </c>
    </row>
    <row r="313" spans="1:31" x14ac:dyDescent="0.25">
      <c r="A313" s="227"/>
      <c r="B313" s="228"/>
      <c r="C313" s="228"/>
      <c r="D313" s="229"/>
      <c r="E313" s="229"/>
      <c r="F313" s="229"/>
      <c r="G313" s="229"/>
      <c r="H313" s="230"/>
      <c r="I313" s="229"/>
      <c r="J313" s="220"/>
      <c r="K313" s="216"/>
      <c r="L313" s="216"/>
      <c r="M313" s="217"/>
      <c r="N313" s="217"/>
      <c r="O313" s="217"/>
      <c r="P313" s="213" t="str">
        <f t="shared" si="56"/>
        <v>No</v>
      </c>
      <c r="Q313" s="148" t="str">
        <f t="shared" si="57"/>
        <v>No</v>
      </c>
      <c r="R313" t="e">
        <f>VLOOKUP(F313, Property!A:B, 2,0)</f>
        <v>#N/A</v>
      </c>
      <c r="T313">
        <f t="shared" si="58"/>
        <v>0</v>
      </c>
      <c r="U313">
        <f t="shared" si="59"/>
        <v>0</v>
      </c>
      <c r="V313">
        <f t="shared" si="60"/>
        <v>0</v>
      </c>
      <c r="W313">
        <f t="shared" si="61"/>
        <v>0</v>
      </c>
      <c r="X313">
        <f t="shared" si="62"/>
        <v>0</v>
      </c>
      <c r="Y313">
        <f t="shared" si="63"/>
        <v>0</v>
      </c>
      <c r="Z313" s="150" t="str">
        <f t="shared" si="64"/>
        <v>No</v>
      </c>
      <c r="AA313" s="150" t="str">
        <f t="shared" si="65"/>
        <v>No</v>
      </c>
      <c r="AB313">
        <f t="shared" si="66"/>
        <v>0</v>
      </c>
      <c r="AC313">
        <f t="shared" si="67"/>
        <v>0</v>
      </c>
      <c r="AD313" t="str">
        <f t="shared" si="68"/>
        <v>No</v>
      </c>
      <c r="AE313" t="str">
        <f t="shared" si="69"/>
        <v>No</v>
      </c>
    </row>
    <row r="314" spans="1:31" x14ac:dyDescent="0.25">
      <c r="A314" s="227"/>
      <c r="B314" s="228"/>
      <c r="C314" s="228"/>
      <c r="D314" s="229"/>
      <c r="E314" s="229"/>
      <c r="F314" s="229"/>
      <c r="G314" s="229"/>
      <c r="H314" s="229"/>
      <c r="I314" s="229"/>
      <c r="J314" s="220"/>
      <c r="K314" s="216"/>
      <c r="L314" s="216"/>
      <c r="M314" s="217"/>
      <c r="N314" s="217"/>
      <c r="O314" s="217"/>
      <c r="P314" s="213" t="str">
        <f t="shared" si="56"/>
        <v>No</v>
      </c>
      <c r="Q314" s="148" t="str">
        <f t="shared" si="57"/>
        <v>No</v>
      </c>
      <c r="R314" t="e">
        <f>VLOOKUP(F314, Property!A:B, 2,0)</f>
        <v>#N/A</v>
      </c>
      <c r="T314">
        <f t="shared" si="58"/>
        <v>0</v>
      </c>
      <c r="U314">
        <f t="shared" si="59"/>
        <v>0</v>
      </c>
      <c r="V314">
        <f t="shared" si="60"/>
        <v>0</v>
      </c>
      <c r="W314">
        <f t="shared" si="61"/>
        <v>0</v>
      </c>
      <c r="X314">
        <f t="shared" si="62"/>
        <v>0</v>
      </c>
      <c r="Y314">
        <f t="shared" si="63"/>
        <v>0</v>
      </c>
      <c r="Z314" s="150" t="str">
        <f t="shared" si="64"/>
        <v>No</v>
      </c>
      <c r="AA314" s="150" t="str">
        <f t="shared" si="65"/>
        <v>No</v>
      </c>
      <c r="AB314">
        <f t="shared" si="66"/>
        <v>0</v>
      </c>
      <c r="AC314">
        <f t="shared" si="67"/>
        <v>0</v>
      </c>
      <c r="AD314" t="str">
        <f t="shared" si="68"/>
        <v>No</v>
      </c>
      <c r="AE314" t="str">
        <f t="shared" si="69"/>
        <v>No</v>
      </c>
    </row>
    <row r="315" spans="1:31" x14ac:dyDescent="0.25">
      <c r="A315" s="227"/>
      <c r="B315" s="228"/>
      <c r="C315" s="228"/>
      <c r="D315" s="229"/>
      <c r="E315" s="229"/>
      <c r="F315" s="229"/>
      <c r="G315" s="229"/>
      <c r="H315" s="229"/>
      <c r="I315" s="229"/>
      <c r="J315" s="220"/>
      <c r="K315" s="216"/>
      <c r="L315" s="216"/>
      <c r="M315" s="217"/>
      <c r="N315" s="217"/>
      <c r="O315" s="217"/>
      <c r="P315" s="213" t="str">
        <f t="shared" si="56"/>
        <v>No</v>
      </c>
      <c r="Q315" s="148" t="str">
        <f t="shared" si="57"/>
        <v>No</v>
      </c>
      <c r="R315" t="e">
        <f>VLOOKUP(F315, Property!A:B, 2,0)</f>
        <v>#N/A</v>
      </c>
      <c r="T315">
        <f t="shared" si="58"/>
        <v>0</v>
      </c>
      <c r="U315">
        <f t="shared" si="59"/>
        <v>0</v>
      </c>
      <c r="V315">
        <f t="shared" si="60"/>
        <v>0</v>
      </c>
      <c r="W315">
        <f t="shared" si="61"/>
        <v>0</v>
      </c>
      <c r="X315">
        <f t="shared" si="62"/>
        <v>0</v>
      </c>
      <c r="Y315">
        <f t="shared" si="63"/>
        <v>0</v>
      </c>
      <c r="Z315" s="150" t="str">
        <f t="shared" si="64"/>
        <v>No</v>
      </c>
      <c r="AA315" s="150" t="str">
        <f t="shared" si="65"/>
        <v>No</v>
      </c>
      <c r="AB315">
        <f t="shared" si="66"/>
        <v>0</v>
      </c>
      <c r="AC315">
        <f t="shared" si="67"/>
        <v>0</v>
      </c>
      <c r="AD315" t="str">
        <f t="shared" si="68"/>
        <v>No</v>
      </c>
      <c r="AE315" t="str">
        <f t="shared" si="69"/>
        <v>No</v>
      </c>
    </row>
    <row r="316" spans="1:31" x14ac:dyDescent="0.25">
      <c r="A316" s="227"/>
      <c r="B316" s="228"/>
      <c r="C316" s="228"/>
      <c r="D316" s="229"/>
      <c r="E316" s="229"/>
      <c r="F316" s="229"/>
      <c r="G316" s="229"/>
      <c r="H316" s="230"/>
      <c r="I316" s="229"/>
      <c r="J316" s="220"/>
      <c r="K316" s="216"/>
      <c r="L316" s="216"/>
      <c r="M316" s="217"/>
      <c r="N316" s="217"/>
      <c r="O316" s="217"/>
      <c r="P316" s="213" t="str">
        <f t="shared" si="56"/>
        <v>No</v>
      </c>
      <c r="Q316" s="148" t="str">
        <f t="shared" si="57"/>
        <v>No</v>
      </c>
      <c r="R316" t="e">
        <f>VLOOKUP(F316, Property!A:B, 2,0)</f>
        <v>#N/A</v>
      </c>
      <c r="T316">
        <f t="shared" si="58"/>
        <v>0</v>
      </c>
      <c r="U316">
        <f t="shared" si="59"/>
        <v>0</v>
      </c>
      <c r="V316">
        <f t="shared" si="60"/>
        <v>0</v>
      </c>
      <c r="W316">
        <f t="shared" si="61"/>
        <v>0</v>
      </c>
      <c r="X316">
        <f t="shared" si="62"/>
        <v>0</v>
      </c>
      <c r="Y316">
        <f t="shared" si="63"/>
        <v>0</v>
      </c>
      <c r="Z316" s="150" t="str">
        <f t="shared" si="64"/>
        <v>No</v>
      </c>
      <c r="AA316" s="150" t="str">
        <f t="shared" si="65"/>
        <v>No</v>
      </c>
      <c r="AB316">
        <f t="shared" si="66"/>
        <v>0</v>
      </c>
      <c r="AC316">
        <f t="shared" si="67"/>
        <v>0</v>
      </c>
      <c r="AD316" t="str">
        <f t="shared" si="68"/>
        <v>No</v>
      </c>
      <c r="AE316" t="str">
        <f t="shared" si="69"/>
        <v>No</v>
      </c>
    </row>
    <row r="317" spans="1:31" x14ac:dyDescent="0.25">
      <c r="A317" s="227"/>
      <c r="B317" s="228"/>
      <c r="C317" s="228"/>
      <c r="D317" s="229"/>
      <c r="E317" s="229"/>
      <c r="F317" s="229"/>
      <c r="G317" s="229"/>
      <c r="H317" s="230"/>
      <c r="I317" s="229"/>
      <c r="J317" s="220"/>
      <c r="K317" s="216"/>
      <c r="L317" s="216"/>
      <c r="M317" s="217"/>
      <c r="N317" s="217"/>
      <c r="O317" s="217"/>
      <c r="P317" s="213" t="str">
        <f t="shared" si="56"/>
        <v>No</v>
      </c>
      <c r="Q317" s="148" t="str">
        <f t="shared" si="57"/>
        <v>No</v>
      </c>
      <c r="R317" t="e">
        <f>VLOOKUP(F317, Property!A:B, 2,0)</f>
        <v>#N/A</v>
      </c>
      <c r="T317">
        <f t="shared" si="58"/>
        <v>0</v>
      </c>
      <c r="U317">
        <f t="shared" si="59"/>
        <v>0</v>
      </c>
      <c r="V317">
        <f t="shared" si="60"/>
        <v>0</v>
      </c>
      <c r="W317">
        <f t="shared" si="61"/>
        <v>0</v>
      </c>
      <c r="X317">
        <f t="shared" si="62"/>
        <v>0</v>
      </c>
      <c r="Y317">
        <f t="shared" si="63"/>
        <v>0</v>
      </c>
      <c r="Z317" s="150" t="str">
        <f t="shared" si="64"/>
        <v>No</v>
      </c>
      <c r="AA317" s="150" t="str">
        <f t="shared" si="65"/>
        <v>No</v>
      </c>
      <c r="AB317">
        <f t="shared" si="66"/>
        <v>0</v>
      </c>
      <c r="AC317">
        <f t="shared" si="67"/>
        <v>0</v>
      </c>
      <c r="AD317" t="str">
        <f t="shared" si="68"/>
        <v>No</v>
      </c>
      <c r="AE317" t="str">
        <f t="shared" si="69"/>
        <v>No</v>
      </c>
    </row>
    <row r="318" spans="1:31" x14ac:dyDescent="0.25">
      <c r="A318" s="227"/>
      <c r="B318" s="228"/>
      <c r="C318" s="228"/>
      <c r="D318" s="229"/>
      <c r="E318" s="229"/>
      <c r="F318" s="229"/>
      <c r="G318" s="229"/>
      <c r="H318" s="229"/>
      <c r="I318" s="229"/>
      <c r="J318" s="220"/>
      <c r="K318" s="216"/>
      <c r="L318" s="216"/>
      <c r="M318" s="217"/>
      <c r="N318" s="217"/>
      <c r="O318" s="217"/>
      <c r="P318" s="213" t="str">
        <f t="shared" si="56"/>
        <v>No</v>
      </c>
      <c r="Q318" s="148" t="str">
        <f t="shared" si="57"/>
        <v>No</v>
      </c>
      <c r="R318" t="e">
        <f>VLOOKUP(F318, Property!A:B, 2,0)</f>
        <v>#N/A</v>
      </c>
      <c r="T318">
        <f t="shared" si="58"/>
        <v>0</v>
      </c>
      <c r="U318">
        <f t="shared" si="59"/>
        <v>0</v>
      </c>
      <c r="V318">
        <f t="shared" si="60"/>
        <v>0</v>
      </c>
      <c r="W318">
        <f t="shared" si="61"/>
        <v>0</v>
      </c>
      <c r="X318">
        <f t="shared" si="62"/>
        <v>0</v>
      </c>
      <c r="Y318">
        <f t="shared" si="63"/>
        <v>0</v>
      </c>
      <c r="Z318" s="150" t="str">
        <f t="shared" si="64"/>
        <v>No</v>
      </c>
      <c r="AA318" s="150" t="str">
        <f t="shared" si="65"/>
        <v>No</v>
      </c>
      <c r="AB318">
        <f t="shared" si="66"/>
        <v>0</v>
      </c>
      <c r="AC318">
        <f t="shared" si="67"/>
        <v>0</v>
      </c>
      <c r="AD318" t="str">
        <f t="shared" si="68"/>
        <v>No</v>
      </c>
      <c r="AE318" t="str">
        <f t="shared" si="69"/>
        <v>No</v>
      </c>
    </row>
    <row r="319" spans="1:31" x14ac:dyDescent="0.25">
      <c r="A319" s="227"/>
      <c r="B319" s="228"/>
      <c r="C319" s="228"/>
      <c r="D319" s="229"/>
      <c r="E319" s="229"/>
      <c r="F319" s="229"/>
      <c r="G319" s="229"/>
      <c r="H319" s="229"/>
      <c r="I319" s="229"/>
      <c r="J319" s="220"/>
      <c r="K319" s="216"/>
      <c r="L319" s="216"/>
      <c r="M319" s="217"/>
      <c r="N319" s="217"/>
      <c r="O319" s="217"/>
      <c r="P319" s="213" t="str">
        <f t="shared" si="56"/>
        <v>No</v>
      </c>
      <c r="Q319" s="148" t="str">
        <f t="shared" si="57"/>
        <v>No</v>
      </c>
      <c r="R319" t="e">
        <f>VLOOKUP(F319, Property!A:B, 2,0)</f>
        <v>#N/A</v>
      </c>
      <c r="T319">
        <f t="shared" si="58"/>
        <v>0</v>
      </c>
      <c r="U319">
        <f t="shared" si="59"/>
        <v>0</v>
      </c>
      <c r="V319">
        <f t="shared" si="60"/>
        <v>0</v>
      </c>
      <c r="W319">
        <f t="shared" si="61"/>
        <v>0</v>
      </c>
      <c r="X319">
        <f t="shared" si="62"/>
        <v>0</v>
      </c>
      <c r="Y319">
        <f t="shared" si="63"/>
        <v>0</v>
      </c>
      <c r="Z319" s="150" t="str">
        <f t="shared" si="64"/>
        <v>No</v>
      </c>
      <c r="AA319" s="150" t="str">
        <f t="shared" si="65"/>
        <v>No</v>
      </c>
      <c r="AB319">
        <f t="shared" si="66"/>
        <v>0</v>
      </c>
      <c r="AC319">
        <f t="shared" si="67"/>
        <v>0</v>
      </c>
      <c r="AD319" t="str">
        <f t="shared" si="68"/>
        <v>No</v>
      </c>
      <c r="AE319" t="str">
        <f t="shared" si="69"/>
        <v>No</v>
      </c>
    </row>
    <row r="320" spans="1:31" x14ac:dyDescent="0.25">
      <c r="A320" s="227"/>
      <c r="B320" s="228"/>
      <c r="C320" s="228"/>
      <c r="D320" s="229"/>
      <c r="E320" s="229"/>
      <c r="F320" s="229"/>
      <c r="G320" s="229"/>
      <c r="H320" s="229"/>
      <c r="I320" s="229"/>
      <c r="J320" s="220"/>
      <c r="K320" s="216"/>
      <c r="L320" s="216"/>
      <c r="M320" s="217"/>
      <c r="N320" s="217"/>
      <c r="O320" s="217"/>
      <c r="P320" s="213" t="str">
        <f t="shared" si="56"/>
        <v>No</v>
      </c>
      <c r="Q320" s="148" t="str">
        <f t="shared" si="57"/>
        <v>No</v>
      </c>
      <c r="R320" t="e">
        <f>VLOOKUP(F320, Property!A:B, 2,0)</f>
        <v>#N/A</v>
      </c>
      <c r="T320">
        <f t="shared" si="58"/>
        <v>0</v>
      </c>
      <c r="U320">
        <f t="shared" si="59"/>
        <v>0</v>
      </c>
      <c r="V320">
        <f t="shared" si="60"/>
        <v>0</v>
      </c>
      <c r="W320">
        <f t="shared" si="61"/>
        <v>0</v>
      </c>
      <c r="X320">
        <f t="shared" si="62"/>
        <v>0</v>
      </c>
      <c r="Y320">
        <f t="shared" si="63"/>
        <v>0</v>
      </c>
      <c r="Z320" s="150" t="str">
        <f t="shared" si="64"/>
        <v>No</v>
      </c>
      <c r="AA320" s="150" t="str">
        <f t="shared" si="65"/>
        <v>No</v>
      </c>
      <c r="AB320">
        <f t="shared" si="66"/>
        <v>0</v>
      </c>
      <c r="AC320">
        <f t="shared" si="67"/>
        <v>0</v>
      </c>
      <c r="AD320" t="str">
        <f t="shared" si="68"/>
        <v>No</v>
      </c>
      <c r="AE320" t="str">
        <f t="shared" si="69"/>
        <v>No</v>
      </c>
    </row>
    <row r="321" spans="1:31" x14ac:dyDescent="0.25">
      <c r="A321" s="227"/>
      <c r="B321" s="228"/>
      <c r="C321" s="228"/>
      <c r="D321" s="229"/>
      <c r="E321" s="229"/>
      <c r="F321" s="229"/>
      <c r="G321" s="229"/>
      <c r="H321" s="229"/>
      <c r="I321" s="229"/>
      <c r="J321" s="220"/>
      <c r="K321" s="216"/>
      <c r="L321" s="216"/>
      <c r="M321" s="217"/>
      <c r="N321" s="217"/>
      <c r="O321" s="217"/>
      <c r="P321" s="213" t="str">
        <f t="shared" si="56"/>
        <v>No</v>
      </c>
      <c r="Q321" s="148" t="str">
        <f t="shared" si="57"/>
        <v>No</v>
      </c>
      <c r="R321" t="e">
        <f>VLOOKUP(F321, Property!A:B, 2,0)</f>
        <v>#N/A</v>
      </c>
      <c r="T321">
        <f t="shared" si="58"/>
        <v>0</v>
      </c>
      <c r="U321">
        <f t="shared" si="59"/>
        <v>0</v>
      </c>
      <c r="V321">
        <f t="shared" si="60"/>
        <v>0</v>
      </c>
      <c r="W321">
        <f t="shared" si="61"/>
        <v>0</v>
      </c>
      <c r="X321">
        <f t="shared" si="62"/>
        <v>0</v>
      </c>
      <c r="Y321">
        <f t="shared" si="63"/>
        <v>0</v>
      </c>
      <c r="Z321" s="150" t="str">
        <f t="shared" si="64"/>
        <v>No</v>
      </c>
      <c r="AA321" s="150" t="str">
        <f t="shared" si="65"/>
        <v>No</v>
      </c>
      <c r="AB321">
        <f t="shared" si="66"/>
        <v>0</v>
      </c>
      <c r="AC321">
        <f t="shared" si="67"/>
        <v>0</v>
      </c>
      <c r="AD321" t="str">
        <f t="shared" si="68"/>
        <v>No</v>
      </c>
      <c r="AE321" t="str">
        <f t="shared" si="69"/>
        <v>No</v>
      </c>
    </row>
    <row r="322" spans="1:31" x14ac:dyDescent="0.25">
      <c r="A322" s="227"/>
      <c r="B322" s="228"/>
      <c r="C322" s="228"/>
      <c r="D322" s="229"/>
      <c r="E322" s="229"/>
      <c r="F322" s="229"/>
      <c r="G322" s="229"/>
      <c r="H322" s="229"/>
      <c r="I322" s="229"/>
      <c r="J322" s="220"/>
      <c r="K322" s="216"/>
      <c r="L322" s="216"/>
      <c r="M322" s="217"/>
      <c r="N322" s="217"/>
      <c r="O322" s="217"/>
      <c r="P322" s="213" t="str">
        <f t="shared" si="56"/>
        <v>No</v>
      </c>
      <c r="Q322" s="148" t="str">
        <f t="shared" si="57"/>
        <v>No</v>
      </c>
      <c r="R322" t="e">
        <f>VLOOKUP(F322, Property!A:B, 2,0)</f>
        <v>#N/A</v>
      </c>
      <c r="T322">
        <f t="shared" si="58"/>
        <v>0</v>
      </c>
      <c r="U322">
        <f t="shared" si="59"/>
        <v>0</v>
      </c>
      <c r="V322">
        <f t="shared" si="60"/>
        <v>0</v>
      </c>
      <c r="W322">
        <f t="shared" si="61"/>
        <v>0</v>
      </c>
      <c r="X322">
        <f t="shared" si="62"/>
        <v>0</v>
      </c>
      <c r="Y322">
        <f t="shared" si="63"/>
        <v>0</v>
      </c>
      <c r="Z322" s="150" t="str">
        <f t="shared" si="64"/>
        <v>No</v>
      </c>
      <c r="AA322" s="150" t="str">
        <f t="shared" si="65"/>
        <v>No</v>
      </c>
      <c r="AB322">
        <f t="shared" si="66"/>
        <v>0</v>
      </c>
      <c r="AC322">
        <f t="shared" si="67"/>
        <v>0</v>
      </c>
      <c r="AD322" t="str">
        <f t="shared" si="68"/>
        <v>No</v>
      </c>
      <c r="AE322" t="str">
        <f t="shared" si="69"/>
        <v>No</v>
      </c>
    </row>
    <row r="323" spans="1:31" x14ac:dyDescent="0.25">
      <c r="A323" s="227"/>
      <c r="B323" s="228"/>
      <c r="C323" s="228"/>
      <c r="D323" s="229"/>
      <c r="E323" s="229"/>
      <c r="F323" s="229"/>
      <c r="G323" s="229"/>
      <c r="H323" s="229"/>
      <c r="I323" s="229"/>
      <c r="J323" s="220"/>
      <c r="K323" s="216"/>
      <c r="L323" s="216"/>
      <c r="M323" s="217"/>
      <c r="N323" s="217"/>
      <c r="O323" s="217"/>
      <c r="P323" s="213" t="str">
        <f t="shared" ref="P323:P370" si="70">Z323</f>
        <v>No</v>
      </c>
      <c r="Q323" s="148" t="str">
        <f t="shared" ref="Q323:Q370" si="71">AA323</f>
        <v>No</v>
      </c>
      <c r="R323" t="e">
        <f>VLOOKUP(F323, Property!A:B, 2,0)</f>
        <v>#N/A</v>
      </c>
      <c r="T323">
        <f t="shared" ref="T323:T370" si="72">SUM(M323:O323)</f>
        <v>0</v>
      </c>
      <c r="U323">
        <f t="shared" ref="U323:U370" si="73">SUM(J323:L323)</f>
        <v>0</v>
      </c>
      <c r="V323">
        <f t="shared" ref="V323:V370" si="74">IF(AND(J323&gt;0, AC323=0), 1, 0)</f>
        <v>0</v>
      </c>
      <c r="W323">
        <f t="shared" ref="W323:W370" si="75">IF(AND(K323&gt;0, AC323=0), 1, 0)</f>
        <v>0</v>
      </c>
      <c r="X323">
        <f t="shared" ref="X323:X370" si="76">IF(L323&gt;0, 1, 0)</f>
        <v>0</v>
      </c>
      <c r="Y323">
        <f t="shared" ref="Y323:Y370" si="77">SUM(V323:X323)</f>
        <v>0</v>
      </c>
      <c r="Z323" s="150" t="str">
        <f t="shared" ref="Z323:Z370" si="78">IF(AND(Y323&gt;0, AB323=0), "Yes", "No")</f>
        <v>No</v>
      </c>
      <c r="AA323" s="150" t="str">
        <f t="shared" ref="AA323:AA370" si="79">IF(AND(G323&gt;0, AB323=0), "Yes", "No")</f>
        <v>No</v>
      </c>
      <c r="AB323">
        <f t="shared" ref="AB323:AB370" si="80">IF(ISNUMBER(SEARCH("Package",D323)), 1,0)</f>
        <v>0</v>
      </c>
      <c r="AC323">
        <f t="shared" ref="AC323:AC370" si="81">IF(ISNUMBER(SEARCH("Breakfast",D323)), 1,0)</f>
        <v>0</v>
      </c>
      <c r="AD323" t="str">
        <f t="shared" ref="AD323:AD370" si="82">IF(AND(P323="Yes", Z323="No"), "Yes", "No")</f>
        <v>No</v>
      </c>
      <c r="AE323" t="str">
        <f t="shared" ref="AE323:AE370" si="83">IF(AND(Q323="Yes", AA323="No"), "Yes", "No")</f>
        <v>No</v>
      </c>
    </row>
    <row r="324" spans="1:31" x14ac:dyDescent="0.25">
      <c r="A324" s="227"/>
      <c r="B324" s="228"/>
      <c r="C324" s="228"/>
      <c r="D324" s="229"/>
      <c r="E324" s="229"/>
      <c r="F324" s="229"/>
      <c r="G324" s="229"/>
      <c r="H324" s="229"/>
      <c r="I324" s="229"/>
      <c r="J324" s="220"/>
      <c r="K324" s="216"/>
      <c r="L324" s="216"/>
      <c r="M324" s="217"/>
      <c r="N324" s="217"/>
      <c r="O324" s="217"/>
      <c r="P324" s="213" t="str">
        <f t="shared" si="70"/>
        <v>No</v>
      </c>
      <c r="Q324" s="148" t="str">
        <f t="shared" si="71"/>
        <v>No</v>
      </c>
      <c r="R324" t="e">
        <f>VLOOKUP(F324, Property!A:B, 2,0)</f>
        <v>#N/A</v>
      </c>
      <c r="T324">
        <f t="shared" si="72"/>
        <v>0</v>
      </c>
      <c r="U324">
        <f t="shared" si="73"/>
        <v>0</v>
      </c>
      <c r="V324">
        <f t="shared" si="74"/>
        <v>0</v>
      </c>
      <c r="W324">
        <f t="shared" si="75"/>
        <v>0</v>
      </c>
      <c r="X324">
        <f t="shared" si="76"/>
        <v>0</v>
      </c>
      <c r="Y324">
        <f t="shared" si="77"/>
        <v>0</v>
      </c>
      <c r="Z324" s="150" t="str">
        <f t="shared" si="78"/>
        <v>No</v>
      </c>
      <c r="AA324" s="150" t="str">
        <f t="shared" si="79"/>
        <v>No</v>
      </c>
      <c r="AB324">
        <f t="shared" si="80"/>
        <v>0</v>
      </c>
      <c r="AC324">
        <f t="shared" si="81"/>
        <v>0</v>
      </c>
      <c r="AD324" t="str">
        <f t="shared" si="82"/>
        <v>No</v>
      </c>
      <c r="AE324" t="str">
        <f t="shared" si="83"/>
        <v>No</v>
      </c>
    </row>
    <row r="325" spans="1:31" x14ac:dyDescent="0.25">
      <c r="A325" s="227"/>
      <c r="B325" s="228"/>
      <c r="C325" s="228"/>
      <c r="D325" s="229"/>
      <c r="E325" s="229"/>
      <c r="F325" s="229"/>
      <c r="G325" s="229"/>
      <c r="H325" s="229"/>
      <c r="I325" s="229"/>
      <c r="J325" s="220"/>
      <c r="K325" s="216"/>
      <c r="L325" s="216"/>
      <c r="M325" s="217"/>
      <c r="N325" s="217"/>
      <c r="O325" s="217"/>
      <c r="P325" s="213" t="str">
        <f t="shared" si="70"/>
        <v>No</v>
      </c>
      <c r="Q325" s="148" t="str">
        <f t="shared" si="71"/>
        <v>No</v>
      </c>
      <c r="R325" t="e">
        <f>VLOOKUP(F325, Property!A:B, 2,0)</f>
        <v>#N/A</v>
      </c>
      <c r="T325">
        <f t="shared" si="72"/>
        <v>0</v>
      </c>
      <c r="U325">
        <f t="shared" si="73"/>
        <v>0</v>
      </c>
      <c r="V325">
        <f t="shared" si="74"/>
        <v>0</v>
      </c>
      <c r="W325">
        <f t="shared" si="75"/>
        <v>0</v>
      </c>
      <c r="X325">
        <f t="shared" si="76"/>
        <v>0</v>
      </c>
      <c r="Y325">
        <f t="shared" si="77"/>
        <v>0</v>
      </c>
      <c r="Z325" s="150" t="str">
        <f t="shared" si="78"/>
        <v>No</v>
      </c>
      <c r="AA325" s="150" t="str">
        <f t="shared" si="79"/>
        <v>No</v>
      </c>
      <c r="AB325">
        <f t="shared" si="80"/>
        <v>0</v>
      </c>
      <c r="AC325">
        <f t="shared" si="81"/>
        <v>0</v>
      </c>
      <c r="AD325" t="str">
        <f t="shared" si="82"/>
        <v>No</v>
      </c>
      <c r="AE325" t="str">
        <f t="shared" si="83"/>
        <v>No</v>
      </c>
    </row>
    <row r="326" spans="1:31" x14ac:dyDescent="0.25">
      <c r="A326" s="227"/>
      <c r="B326" s="228"/>
      <c r="C326" s="228"/>
      <c r="D326" s="229"/>
      <c r="E326" s="229"/>
      <c r="F326" s="229"/>
      <c r="G326" s="229"/>
      <c r="H326" s="229"/>
      <c r="I326" s="229"/>
      <c r="J326" s="220"/>
      <c r="K326" s="216"/>
      <c r="L326" s="216"/>
      <c r="M326" s="217"/>
      <c r="N326" s="217"/>
      <c r="O326" s="217"/>
      <c r="P326" s="213" t="str">
        <f t="shared" si="70"/>
        <v>No</v>
      </c>
      <c r="Q326" s="148" t="str">
        <f t="shared" si="71"/>
        <v>No</v>
      </c>
      <c r="R326" t="e">
        <f>VLOOKUP(F326, Property!A:B, 2,0)</f>
        <v>#N/A</v>
      </c>
      <c r="T326">
        <f t="shared" si="72"/>
        <v>0</v>
      </c>
      <c r="U326">
        <f t="shared" si="73"/>
        <v>0</v>
      </c>
      <c r="V326">
        <f t="shared" si="74"/>
        <v>0</v>
      </c>
      <c r="W326">
        <f t="shared" si="75"/>
        <v>0</v>
      </c>
      <c r="X326">
        <f t="shared" si="76"/>
        <v>0</v>
      </c>
      <c r="Y326">
        <f t="shared" si="77"/>
        <v>0</v>
      </c>
      <c r="Z326" s="150" t="str">
        <f t="shared" si="78"/>
        <v>No</v>
      </c>
      <c r="AA326" s="150" t="str">
        <f t="shared" si="79"/>
        <v>No</v>
      </c>
      <c r="AB326">
        <f t="shared" si="80"/>
        <v>0</v>
      </c>
      <c r="AC326">
        <f t="shared" si="81"/>
        <v>0</v>
      </c>
      <c r="AD326" t="str">
        <f t="shared" si="82"/>
        <v>No</v>
      </c>
      <c r="AE326" t="str">
        <f t="shared" si="83"/>
        <v>No</v>
      </c>
    </row>
    <row r="327" spans="1:31" x14ac:dyDescent="0.25">
      <c r="A327" s="227"/>
      <c r="B327" s="228"/>
      <c r="C327" s="228"/>
      <c r="D327" s="229"/>
      <c r="E327" s="229"/>
      <c r="F327" s="229"/>
      <c r="G327" s="229"/>
      <c r="H327" s="229"/>
      <c r="I327" s="229"/>
      <c r="J327" s="220"/>
      <c r="K327" s="216"/>
      <c r="L327" s="216"/>
      <c r="M327" s="217"/>
      <c r="N327" s="217"/>
      <c r="O327" s="217"/>
      <c r="P327" s="213" t="str">
        <f t="shared" si="70"/>
        <v>No</v>
      </c>
      <c r="Q327" s="148" t="str">
        <f t="shared" si="71"/>
        <v>No</v>
      </c>
      <c r="R327" t="e">
        <f>VLOOKUP(F327, Property!A:B, 2,0)</f>
        <v>#N/A</v>
      </c>
      <c r="T327">
        <f t="shared" si="72"/>
        <v>0</v>
      </c>
      <c r="U327">
        <f t="shared" si="73"/>
        <v>0</v>
      </c>
      <c r="V327">
        <f t="shared" si="74"/>
        <v>0</v>
      </c>
      <c r="W327">
        <f t="shared" si="75"/>
        <v>0</v>
      </c>
      <c r="X327">
        <f t="shared" si="76"/>
        <v>0</v>
      </c>
      <c r="Y327">
        <f t="shared" si="77"/>
        <v>0</v>
      </c>
      <c r="Z327" s="150" t="str">
        <f t="shared" si="78"/>
        <v>No</v>
      </c>
      <c r="AA327" s="150" t="str">
        <f t="shared" si="79"/>
        <v>No</v>
      </c>
      <c r="AB327">
        <f t="shared" si="80"/>
        <v>0</v>
      </c>
      <c r="AC327">
        <f t="shared" si="81"/>
        <v>0</v>
      </c>
      <c r="AD327" t="str">
        <f t="shared" si="82"/>
        <v>No</v>
      </c>
      <c r="AE327" t="str">
        <f t="shared" si="83"/>
        <v>No</v>
      </c>
    </row>
    <row r="328" spans="1:31" x14ac:dyDescent="0.25">
      <c r="A328" s="227"/>
      <c r="B328" s="228"/>
      <c r="C328" s="228"/>
      <c r="D328" s="229"/>
      <c r="E328" s="229"/>
      <c r="F328" s="229"/>
      <c r="G328" s="229"/>
      <c r="H328" s="229"/>
      <c r="I328" s="229"/>
      <c r="J328" s="220"/>
      <c r="K328" s="216"/>
      <c r="L328" s="216"/>
      <c r="M328" s="217"/>
      <c r="N328" s="217"/>
      <c r="O328" s="217"/>
      <c r="P328" s="213" t="str">
        <f t="shared" si="70"/>
        <v>No</v>
      </c>
      <c r="Q328" s="148" t="str">
        <f t="shared" si="71"/>
        <v>No</v>
      </c>
      <c r="R328" t="e">
        <f>VLOOKUP(F328, Property!A:B, 2,0)</f>
        <v>#N/A</v>
      </c>
      <c r="T328">
        <f t="shared" si="72"/>
        <v>0</v>
      </c>
      <c r="U328">
        <f t="shared" si="73"/>
        <v>0</v>
      </c>
      <c r="V328">
        <f t="shared" si="74"/>
        <v>0</v>
      </c>
      <c r="W328">
        <f t="shared" si="75"/>
        <v>0</v>
      </c>
      <c r="X328">
        <f t="shared" si="76"/>
        <v>0</v>
      </c>
      <c r="Y328">
        <f t="shared" si="77"/>
        <v>0</v>
      </c>
      <c r="Z328" s="150" t="str">
        <f t="shared" si="78"/>
        <v>No</v>
      </c>
      <c r="AA328" s="150" t="str">
        <f t="shared" si="79"/>
        <v>No</v>
      </c>
      <c r="AB328">
        <f t="shared" si="80"/>
        <v>0</v>
      </c>
      <c r="AC328">
        <f t="shared" si="81"/>
        <v>0</v>
      </c>
      <c r="AD328" t="str">
        <f t="shared" si="82"/>
        <v>No</v>
      </c>
      <c r="AE328" t="str">
        <f t="shared" si="83"/>
        <v>No</v>
      </c>
    </row>
    <row r="329" spans="1:31" x14ac:dyDescent="0.25">
      <c r="A329" s="227"/>
      <c r="B329" s="228"/>
      <c r="C329" s="228"/>
      <c r="D329" s="229"/>
      <c r="E329" s="229"/>
      <c r="F329" s="229"/>
      <c r="G329" s="229"/>
      <c r="H329" s="229"/>
      <c r="I329" s="229"/>
      <c r="J329" s="220"/>
      <c r="K329" s="216"/>
      <c r="L329" s="216"/>
      <c r="M329" s="217"/>
      <c r="N329" s="217"/>
      <c r="O329" s="217"/>
      <c r="P329" s="213" t="str">
        <f t="shared" si="70"/>
        <v>No</v>
      </c>
      <c r="Q329" s="148" t="str">
        <f t="shared" si="71"/>
        <v>No</v>
      </c>
      <c r="R329" t="e">
        <f>VLOOKUP(F329, Property!A:B, 2,0)</f>
        <v>#N/A</v>
      </c>
      <c r="T329">
        <f t="shared" si="72"/>
        <v>0</v>
      </c>
      <c r="U329">
        <f t="shared" si="73"/>
        <v>0</v>
      </c>
      <c r="V329">
        <f t="shared" si="74"/>
        <v>0</v>
      </c>
      <c r="W329">
        <f t="shared" si="75"/>
        <v>0</v>
      </c>
      <c r="X329">
        <f t="shared" si="76"/>
        <v>0</v>
      </c>
      <c r="Y329">
        <f t="shared" si="77"/>
        <v>0</v>
      </c>
      <c r="Z329" s="150" t="str">
        <f t="shared" si="78"/>
        <v>No</v>
      </c>
      <c r="AA329" s="150" t="str">
        <f t="shared" si="79"/>
        <v>No</v>
      </c>
      <c r="AB329">
        <f t="shared" si="80"/>
        <v>0</v>
      </c>
      <c r="AC329">
        <f t="shared" si="81"/>
        <v>0</v>
      </c>
      <c r="AD329" t="str">
        <f t="shared" si="82"/>
        <v>No</v>
      </c>
      <c r="AE329" t="str">
        <f t="shared" si="83"/>
        <v>No</v>
      </c>
    </row>
    <row r="330" spans="1:31" x14ac:dyDescent="0.25">
      <c r="A330" s="227"/>
      <c r="B330" s="228"/>
      <c r="C330" s="228"/>
      <c r="D330" s="229"/>
      <c r="E330" s="229"/>
      <c r="F330" s="229"/>
      <c r="G330" s="229"/>
      <c r="H330" s="230"/>
      <c r="I330" s="229"/>
      <c r="J330" s="220"/>
      <c r="K330" s="216"/>
      <c r="L330" s="216"/>
      <c r="M330" s="217"/>
      <c r="N330" s="217"/>
      <c r="O330" s="217"/>
      <c r="P330" s="213" t="str">
        <f t="shared" si="70"/>
        <v>No</v>
      </c>
      <c r="Q330" s="148" t="str">
        <f t="shared" si="71"/>
        <v>No</v>
      </c>
      <c r="R330" t="e">
        <f>VLOOKUP(F330, Property!A:B, 2,0)</f>
        <v>#N/A</v>
      </c>
      <c r="T330">
        <f t="shared" si="72"/>
        <v>0</v>
      </c>
      <c r="U330">
        <f t="shared" si="73"/>
        <v>0</v>
      </c>
      <c r="V330">
        <f t="shared" si="74"/>
        <v>0</v>
      </c>
      <c r="W330">
        <f t="shared" si="75"/>
        <v>0</v>
      </c>
      <c r="X330">
        <f t="shared" si="76"/>
        <v>0</v>
      </c>
      <c r="Y330">
        <f t="shared" si="77"/>
        <v>0</v>
      </c>
      <c r="Z330" s="150" t="str">
        <f t="shared" si="78"/>
        <v>No</v>
      </c>
      <c r="AA330" s="150" t="str">
        <f t="shared" si="79"/>
        <v>No</v>
      </c>
      <c r="AB330">
        <f t="shared" si="80"/>
        <v>0</v>
      </c>
      <c r="AC330">
        <f t="shared" si="81"/>
        <v>0</v>
      </c>
      <c r="AD330" t="str">
        <f t="shared" si="82"/>
        <v>No</v>
      </c>
      <c r="AE330" t="str">
        <f t="shared" si="83"/>
        <v>No</v>
      </c>
    </row>
    <row r="331" spans="1:31" x14ac:dyDescent="0.25">
      <c r="A331" s="227"/>
      <c r="B331" s="228"/>
      <c r="C331" s="228"/>
      <c r="D331" s="229"/>
      <c r="E331" s="229"/>
      <c r="F331" s="229"/>
      <c r="G331" s="229"/>
      <c r="H331" s="230"/>
      <c r="I331" s="229"/>
      <c r="J331" s="220"/>
      <c r="K331" s="216"/>
      <c r="L331" s="216"/>
      <c r="M331" s="217"/>
      <c r="N331" s="217"/>
      <c r="O331" s="217"/>
      <c r="P331" s="213" t="str">
        <f t="shared" si="70"/>
        <v>No</v>
      </c>
      <c r="Q331" s="148" t="str">
        <f t="shared" si="71"/>
        <v>No</v>
      </c>
      <c r="R331" t="e">
        <f>VLOOKUP(F331, Property!A:B, 2,0)</f>
        <v>#N/A</v>
      </c>
      <c r="T331">
        <f t="shared" si="72"/>
        <v>0</v>
      </c>
      <c r="U331">
        <f t="shared" si="73"/>
        <v>0</v>
      </c>
      <c r="V331">
        <f t="shared" si="74"/>
        <v>0</v>
      </c>
      <c r="W331">
        <f t="shared" si="75"/>
        <v>0</v>
      </c>
      <c r="X331">
        <f t="shared" si="76"/>
        <v>0</v>
      </c>
      <c r="Y331">
        <f t="shared" si="77"/>
        <v>0</v>
      </c>
      <c r="Z331" s="150" t="str">
        <f t="shared" si="78"/>
        <v>No</v>
      </c>
      <c r="AA331" s="150" t="str">
        <f t="shared" si="79"/>
        <v>No</v>
      </c>
      <c r="AB331">
        <f t="shared" si="80"/>
        <v>0</v>
      </c>
      <c r="AC331">
        <f t="shared" si="81"/>
        <v>0</v>
      </c>
      <c r="AD331" t="str">
        <f t="shared" si="82"/>
        <v>No</v>
      </c>
      <c r="AE331" t="str">
        <f t="shared" si="83"/>
        <v>No</v>
      </c>
    </row>
    <row r="332" spans="1:31" x14ac:dyDescent="0.25">
      <c r="A332" s="227"/>
      <c r="B332" s="228"/>
      <c r="C332" s="228"/>
      <c r="D332" s="229"/>
      <c r="E332" s="229"/>
      <c r="F332" s="229"/>
      <c r="G332" s="229"/>
      <c r="H332" s="229"/>
      <c r="I332" s="229"/>
      <c r="J332" s="220"/>
      <c r="K332" s="216"/>
      <c r="L332" s="216"/>
      <c r="M332" s="217"/>
      <c r="N332" s="217"/>
      <c r="O332" s="217"/>
      <c r="P332" s="213" t="str">
        <f t="shared" si="70"/>
        <v>No</v>
      </c>
      <c r="Q332" s="148" t="str">
        <f t="shared" si="71"/>
        <v>No</v>
      </c>
      <c r="R332" t="e">
        <f>VLOOKUP(F332, Property!A:B, 2,0)</f>
        <v>#N/A</v>
      </c>
      <c r="T332">
        <f t="shared" si="72"/>
        <v>0</v>
      </c>
      <c r="U332">
        <f t="shared" si="73"/>
        <v>0</v>
      </c>
      <c r="V332">
        <f t="shared" si="74"/>
        <v>0</v>
      </c>
      <c r="W332">
        <f t="shared" si="75"/>
        <v>0</v>
      </c>
      <c r="X332">
        <f t="shared" si="76"/>
        <v>0</v>
      </c>
      <c r="Y332">
        <f t="shared" si="77"/>
        <v>0</v>
      </c>
      <c r="Z332" s="150" t="str">
        <f t="shared" si="78"/>
        <v>No</v>
      </c>
      <c r="AA332" s="150" t="str">
        <f t="shared" si="79"/>
        <v>No</v>
      </c>
      <c r="AB332">
        <f t="shared" si="80"/>
        <v>0</v>
      </c>
      <c r="AC332">
        <f t="shared" si="81"/>
        <v>0</v>
      </c>
      <c r="AD332" t="str">
        <f t="shared" si="82"/>
        <v>No</v>
      </c>
      <c r="AE332" t="str">
        <f t="shared" si="83"/>
        <v>No</v>
      </c>
    </row>
    <row r="333" spans="1:31" x14ac:dyDescent="0.25">
      <c r="A333" s="227"/>
      <c r="B333" s="228"/>
      <c r="C333" s="228"/>
      <c r="D333" s="229"/>
      <c r="E333" s="229"/>
      <c r="F333" s="229"/>
      <c r="G333" s="229"/>
      <c r="H333" s="230"/>
      <c r="I333" s="229"/>
      <c r="J333" s="220"/>
      <c r="K333" s="216"/>
      <c r="L333" s="216"/>
      <c r="M333" s="217"/>
      <c r="N333" s="217"/>
      <c r="O333" s="217"/>
      <c r="P333" s="213" t="str">
        <f t="shared" si="70"/>
        <v>No</v>
      </c>
      <c r="Q333" s="148" t="str">
        <f t="shared" si="71"/>
        <v>No</v>
      </c>
      <c r="R333" t="e">
        <f>VLOOKUP(F333, Property!A:B, 2,0)</f>
        <v>#N/A</v>
      </c>
      <c r="T333">
        <f t="shared" si="72"/>
        <v>0</v>
      </c>
      <c r="U333">
        <f t="shared" si="73"/>
        <v>0</v>
      </c>
      <c r="V333">
        <f t="shared" si="74"/>
        <v>0</v>
      </c>
      <c r="W333">
        <f t="shared" si="75"/>
        <v>0</v>
      </c>
      <c r="X333">
        <f t="shared" si="76"/>
        <v>0</v>
      </c>
      <c r="Y333">
        <f t="shared" si="77"/>
        <v>0</v>
      </c>
      <c r="Z333" s="150" t="str">
        <f t="shared" si="78"/>
        <v>No</v>
      </c>
      <c r="AA333" s="150" t="str">
        <f t="shared" si="79"/>
        <v>No</v>
      </c>
      <c r="AB333">
        <f t="shared" si="80"/>
        <v>0</v>
      </c>
      <c r="AC333">
        <f t="shared" si="81"/>
        <v>0</v>
      </c>
      <c r="AD333" t="str">
        <f t="shared" si="82"/>
        <v>No</v>
      </c>
      <c r="AE333" t="str">
        <f t="shared" si="83"/>
        <v>No</v>
      </c>
    </row>
    <row r="334" spans="1:31" x14ac:dyDescent="0.25">
      <c r="A334" s="227"/>
      <c r="B334" s="228"/>
      <c r="C334" s="228"/>
      <c r="D334" s="229"/>
      <c r="E334" s="229"/>
      <c r="F334" s="229"/>
      <c r="G334" s="229"/>
      <c r="H334" s="230"/>
      <c r="I334" s="229"/>
      <c r="J334" s="220"/>
      <c r="K334" s="216"/>
      <c r="L334" s="216"/>
      <c r="M334" s="217"/>
      <c r="N334" s="217"/>
      <c r="O334" s="217"/>
      <c r="P334" s="213" t="str">
        <f t="shared" si="70"/>
        <v>No</v>
      </c>
      <c r="Q334" s="148" t="str">
        <f t="shared" si="71"/>
        <v>No</v>
      </c>
      <c r="R334" t="e">
        <f>VLOOKUP(F334, Property!A:B, 2,0)</f>
        <v>#N/A</v>
      </c>
      <c r="T334">
        <f t="shared" si="72"/>
        <v>0</v>
      </c>
      <c r="U334">
        <f t="shared" si="73"/>
        <v>0</v>
      </c>
      <c r="V334">
        <f t="shared" si="74"/>
        <v>0</v>
      </c>
      <c r="W334">
        <f t="shared" si="75"/>
        <v>0</v>
      </c>
      <c r="X334">
        <f t="shared" si="76"/>
        <v>0</v>
      </c>
      <c r="Y334">
        <f t="shared" si="77"/>
        <v>0</v>
      </c>
      <c r="Z334" s="150" t="str">
        <f t="shared" si="78"/>
        <v>No</v>
      </c>
      <c r="AA334" s="150" t="str">
        <f t="shared" si="79"/>
        <v>No</v>
      </c>
      <c r="AB334">
        <f t="shared" si="80"/>
        <v>0</v>
      </c>
      <c r="AC334">
        <f t="shared" si="81"/>
        <v>0</v>
      </c>
      <c r="AD334" t="str">
        <f t="shared" si="82"/>
        <v>No</v>
      </c>
      <c r="AE334" t="str">
        <f t="shared" si="83"/>
        <v>No</v>
      </c>
    </row>
    <row r="335" spans="1:31" x14ac:dyDescent="0.25">
      <c r="A335" s="227"/>
      <c r="B335" s="228"/>
      <c r="C335" s="228"/>
      <c r="D335" s="229"/>
      <c r="E335" s="229"/>
      <c r="F335" s="229"/>
      <c r="G335" s="229"/>
      <c r="H335" s="229"/>
      <c r="I335" s="229"/>
      <c r="J335" s="220"/>
      <c r="K335" s="216"/>
      <c r="L335" s="216"/>
      <c r="M335" s="217"/>
      <c r="N335" s="217"/>
      <c r="O335" s="217"/>
      <c r="P335" s="213" t="str">
        <f t="shared" si="70"/>
        <v>No</v>
      </c>
      <c r="Q335" s="148" t="str">
        <f t="shared" si="71"/>
        <v>No</v>
      </c>
      <c r="R335" t="e">
        <f>VLOOKUP(F335, Property!A:B, 2,0)</f>
        <v>#N/A</v>
      </c>
      <c r="T335">
        <f t="shared" si="72"/>
        <v>0</v>
      </c>
      <c r="U335">
        <f t="shared" si="73"/>
        <v>0</v>
      </c>
      <c r="V335">
        <f t="shared" si="74"/>
        <v>0</v>
      </c>
      <c r="W335">
        <f t="shared" si="75"/>
        <v>0</v>
      </c>
      <c r="X335">
        <f t="shared" si="76"/>
        <v>0</v>
      </c>
      <c r="Y335">
        <f t="shared" si="77"/>
        <v>0</v>
      </c>
      <c r="Z335" s="150" t="str">
        <f t="shared" si="78"/>
        <v>No</v>
      </c>
      <c r="AA335" s="150" t="str">
        <f t="shared" si="79"/>
        <v>No</v>
      </c>
      <c r="AB335">
        <f t="shared" si="80"/>
        <v>0</v>
      </c>
      <c r="AC335">
        <f t="shared" si="81"/>
        <v>0</v>
      </c>
      <c r="AD335" t="str">
        <f t="shared" si="82"/>
        <v>No</v>
      </c>
      <c r="AE335" t="str">
        <f t="shared" si="83"/>
        <v>No</v>
      </c>
    </row>
    <row r="336" spans="1:31" x14ac:dyDescent="0.25">
      <c r="A336" s="227"/>
      <c r="B336" s="228"/>
      <c r="C336" s="228"/>
      <c r="D336" s="229"/>
      <c r="E336" s="229"/>
      <c r="F336" s="229"/>
      <c r="G336" s="229"/>
      <c r="H336" s="230"/>
      <c r="I336" s="229"/>
      <c r="J336" s="220"/>
      <c r="K336" s="216"/>
      <c r="L336" s="216"/>
      <c r="M336" s="216"/>
      <c r="N336" s="217"/>
      <c r="O336" s="217"/>
      <c r="P336" s="213" t="str">
        <f t="shared" si="70"/>
        <v>No</v>
      </c>
      <c r="Q336" s="148" t="str">
        <f t="shared" si="71"/>
        <v>No</v>
      </c>
      <c r="R336" t="e">
        <f>VLOOKUP(F336, Property!A:B, 2,0)</f>
        <v>#N/A</v>
      </c>
      <c r="T336">
        <f t="shared" si="72"/>
        <v>0</v>
      </c>
      <c r="U336">
        <f t="shared" si="73"/>
        <v>0</v>
      </c>
      <c r="V336">
        <f t="shared" si="74"/>
        <v>0</v>
      </c>
      <c r="W336">
        <f t="shared" si="75"/>
        <v>0</v>
      </c>
      <c r="X336">
        <f t="shared" si="76"/>
        <v>0</v>
      </c>
      <c r="Y336">
        <f t="shared" si="77"/>
        <v>0</v>
      </c>
      <c r="Z336" s="150" t="str">
        <f t="shared" si="78"/>
        <v>No</v>
      </c>
      <c r="AA336" s="150" t="str">
        <f t="shared" si="79"/>
        <v>No</v>
      </c>
      <c r="AB336">
        <f t="shared" si="80"/>
        <v>0</v>
      </c>
      <c r="AC336">
        <f t="shared" si="81"/>
        <v>0</v>
      </c>
      <c r="AD336" t="str">
        <f t="shared" si="82"/>
        <v>No</v>
      </c>
      <c r="AE336" t="str">
        <f t="shared" si="83"/>
        <v>No</v>
      </c>
    </row>
    <row r="337" spans="1:31" x14ac:dyDescent="0.25">
      <c r="A337" s="227"/>
      <c r="B337" s="228"/>
      <c r="C337" s="228"/>
      <c r="D337" s="229"/>
      <c r="E337" s="229"/>
      <c r="F337" s="229"/>
      <c r="G337" s="229"/>
      <c r="H337" s="230"/>
      <c r="I337" s="229"/>
      <c r="J337" s="220"/>
      <c r="K337" s="216"/>
      <c r="L337" s="216"/>
      <c r="M337" s="216"/>
      <c r="N337" s="217"/>
      <c r="O337" s="217"/>
      <c r="P337" s="213" t="str">
        <f t="shared" si="70"/>
        <v>No</v>
      </c>
      <c r="Q337" s="148" t="str">
        <f t="shared" si="71"/>
        <v>No</v>
      </c>
      <c r="R337" t="e">
        <f>VLOOKUP(F337, Property!A:B, 2,0)</f>
        <v>#N/A</v>
      </c>
      <c r="T337">
        <f t="shared" si="72"/>
        <v>0</v>
      </c>
      <c r="U337">
        <f t="shared" si="73"/>
        <v>0</v>
      </c>
      <c r="V337">
        <f t="shared" si="74"/>
        <v>0</v>
      </c>
      <c r="W337">
        <f t="shared" si="75"/>
        <v>0</v>
      </c>
      <c r="X337">
        <f t="shared" si="76"/>
        <v>0</v>
      </c>
      <c r="Y337">
        <f t="shared" si="77"/>
        <v>0</v>
      </c>
      <c r="Z337" s="150" t="str">
        <f t="shared" si="78"/>
        <v>No</v>
      </c>
      <c r="AA337" s="150" t="str">
        <f t="shared" si="79"/>
        <v>No</v>
      </c>
      <c r="AB337">
        <f t="shared" si="80"/>
        <v>0</v>
      </c>
      <c r="AC337">
        <f t="shared" si="81"/>
        <v>0</v>
      </c>
      <c r="AD337" t="str">
        <f t="shared" si="82"/>
        <v>No</v>
      </c>
      <c r="AE337" t="str">
        <f t="shared" si="83"/>
        <v>No</v>
      </c>
    </row>
    <row r="338" spans="1:31" x14ac:dyDescent="0.25">
      <c r="A338" s="227"/>
      <c r="B338" s="228"/>
      <c r="C338" s="228"/>
      <c r="D338" s="229"/>
      <c r="E338" s="229"/>
      <c r="F338" s="229"/>
      <c r="G338" s="229"/>
      <c r="H338" s="230"/>
      <c r="I338" s="229"/>
      <c r="J338" s="220"/>
      <c r="K338" s="216"/>
      <c r="L338" s="216"/>
      <c r="M338" s="216"/>
      <c r="N338" s="217"/>
      <c r="O338" s="217"/>
      <c r="P338" s="213" t="str">
        <f t="shared" si="70"/>
        <v>No</v>
      </c>
      <c r="Q338" s="148" t="str">
        <f t="shared" si="71"/>
        <v>No</v>
      </c>
      <c r="R338" t="e">
        <f>VLOOKUP(F338, Property!A:B, 2,0)</f>
        <v>#N/A</v>
      </c>
      <c r="T338">
        <f t="shared" si="72"/>
        <v>0</v>
      </c>
      <c r="U338">
        <f t="shared" si="73"/>
        <v>0</v>
      </c>
      <c r="V338">
        <f t="shared" si="74"/>
        <v>0</v>
      </c>
      <c r="W338">
        <f t="shared" si="75"/>
        <v>0</v>
      </c>
      <c r="X338">
        <f t="shared" si="76"/>
        <v>0</v>
      </c>
      <c r="Y338">
        <f t="shared" si="77"/>
        <v>0</v>
      </c>
      <c r="Z338" s="150" t="str">
        <f t="shared" si="78"/>
        <v>No</v>
      </c>
      <c r="AA338" s="150" t="str">
        <f t="shared" si="79"/>
        <v>No</v>
      </c>
      <c r="AB338">
        <f t="shared" si="80"/>
        <v>0</v>
      </c>
      <c r="AC338">
        <f t="shared" si="81"/>
        <v>0</v>
      </c>
      <c r="AD338" t="str">
        <f t="shared" si="82"/>
        <v>No</v>
      </c>
      <c r="AE338" t="str">
        <f t="shared" si="83"/>
        <v>No</v>
      </c>
    </row>
    <row r="339" spans="1:31" x14ac:dyDescent="0.25">
      <c r="A339" s="227"/>
      <c r="B339" s="228"/>
      <c r="C339" s="228"/>
      <c r="D339" s="229"/>
      <c r="E339" s="229"/>
      <c r="F339" s="229"/>
      <c r="G339" s="229"/>
      <c r="H339" s="230"/>
      <c r="I339" s="229"/>
      <c r="J339" s="220"/>
      <c r="K339" s="216"/>
      <c r="L339" s="216"/>
      <c r="M339" s="217"/>
      <c r="N339" s="217"/>
      <c r="O339" s="217"/>
      <c r="P339" s="213" t="str">
        <f t="shared" si="70"/>
        <v>No</v>
      </c>
      <c r="Q339" s="148" t="str">
        <f t="shared" si="71"/>
        <v>No</v>
      </c>
      <c r="R339" t="e">
        <f>VLOOKUP(F339, Property!A:B, 2,0)</f>
        <v>#N/A</v>
      </c>
      <c r="T339">
        <f t="shared" si="72"/>
        <v>0</v>
      </c>
      <c r="U339">
        <f t="shared" si="73"/>
        <v>0</v>
      </c>
      <c r="V339">
        <f t="shared" si="74"/>
        <v>0</v>
      </c>
      <c r="W339">
        <f t="shared" si="75"/>
        <v>0</v>
      </c>
      <c r="X339">
        <f t="shared" si="76"/>
        <v>0</v>
      </c>
      <c r="Y339">
        <f t="shared" si="77"/>
        <v>0</v>
      </c>
      <c r="Z339" s="150" t="str">
        <f t="shared" si="78"/>
        <v>No</v>
      </c>
      <c r="AA339" s="150" t="str">
        <f t="shared" si="79"/>
        <v>No</v>
      </c>
      <c r="AB339">
        <f t="shared" si="80"/>
        <v>0</v>
      </c>
      <c r="AC339">
        <f t="shared" si="81"/>
        <v>0</v>
      </c>
      <c r="AD339" t="str">
        <f t="shared" si="82"/>
        <v>No</v>
      </c>
      <c r="AE339" t="str">
        <f t="shared" si="83"/>
        <v>No</v>
      </c>
    </row>
    <row r="340" spans="1:31" x14ac:dyDescent="0.25">
      <c r="A340" s="227"/>
      <c r="B340" s="228"/>
      <c r="C340" s="228"/>
      <c r="D340" s="229"/>
      <c r="E340" s="229"/>
      <c r="F340" s="229"/>
      <c r="G340" s="229"/>
      <c r="H340" s="230"/>
      <c r="I340" s="229"/>
      <c r="J340" s="220"/>
      <c r="K340" s="216"/>
      <c r="L340" s="216"/>
      <c r="M340" s="217"/>
      <c r="N340" s="217"/>
      <c r="O340" s="217"/>
      <c r="P340" s="213" t="str">
        <f t="shared" si="70"/>
        <v>No</v>
      </c>
      <c r="Q340" s="148" t="str">
        <f t="shared" si="71"/>
        <v>No</v>
      </c>
      <c r="R340" t="e">
        <f>VLOOKUP(F340, Property!A:B, 2,0)</f>
        <v>#N/A</v>
      </c>
      <c r="T340">
        <f t="shared" si="72"/>
        <v>0</v>
      </c>
      <c r="U340">
        <f t="shared" si="73"/>
        <v>0</v>
      </c>
      <c r="V340">
        <f t="shared" si="74"/>
        <v>0</v>
      </c>
      <c r="W340">
        <f t="shared" si="75"/>
        <v>0</v>
      </c>
      <c r="X340">
        <f t="shared" si="76"/>
        <v>0</v>
      </c>
      <c r="Y340">
        <f t="shared" si="77"/>
        <v>0</v>
      </c>
      <c r="Z340" s="150" t="str">
        <f t="shared" si="78"/>
        <v>No</v>
      </c>
      <c r="AA340" s="150" t="str">
        <f t="shared" si="79"/>
        <v>No</v>
      </c>
      <c r="AB340">
        <f t="shared" si="80"/>
        <v>0</v>
      </c>
      <c r="AC340">
        <f t="shared" si="81"/>
        <v>0</v>
      </c>
      <c r="AD340" t="str">
        <f t="shared" si="82"/>
        <v>No</v>
      </c>
      <c r="AE340" t="str">
        <f t="shared" si="83"/>
        <v>No</v>
      </c>
    </row>
    <row r="341" spans="1:31" x14ac:dyDescent="0.25">
      <c r="A341" s="227"/>
      <c r="B341" s="228"/>
      <c r="C341" s="228"/>
      <c r="D341" s="229"/>
      <c r="E341" s="229"/>
      <c r="F341" s="229"/>
      <c r="G341" s="229"/>
      <c r="H341" s="230"/>
      <c r="I341" s="229"/>
      <c r="J341" s="220"/>
      <c r="K341" s="216"/>
      <c r="L341" s="216"/>
      <c r="M341" s="216"/>
      <c r="N341" s="217"/>
      <c r="O341" s="217"/>
      <c r="P341" s="213" t="str">
        <f t="shared" si="70"/>
        <v>No</v>
      </c>
      <c r="Q341" s="148" t="str">
        <f t="shared" si="71"/>
        <v>No</v>
      </c>
      <c r="R341" t="e">
        <f>VLOOKUP(F341, Property!A:B, 2,0)</f>
        <v>#N/A</v>
      </c>
      <c r="T341">
        <f t="shared" si="72"/>
        <v>0</v>
      </c>
      <c r="U341">
        <f t="shared" si="73"/>
        <v>0</v>
      </c>
      <c r="V341">
        <f t="shared" si="74"/>
        <v>0</v>
      </c>
      <c r="W341">
        <f t="shared" si="75"/>
        <v>0</v>
      </c>
      <c r="X341">
        <f t="shared" si="76"/>
        <v>0</v>
      </c>
      <c r="Y341">
        <f t="shared" si="77"/>
        <v>0</v>
      </c>
      <c r="Z341" s="150" t="str">
        <f t="shared" si="78"/>
        <v>No</v>
      </c>
      <c r="AA341" s="150" t="str">
        <f t="shared" si="79"/>
        <v>No</v>
      </c>
      <c r="AB341">
        <f t="shared" si="80"/>
        <v>0</v>
      </c>
      <c r="AC341">
        <f t="shared" si="81"/>
        <v>0</v>
      </c>
      <c r="AD341" t="str">
        <f t="shared" si="82"/>
        <v>No</v>
      </c>
      <c r="AE341" t="str">
        <f t="shared" si="83"/>
        <v>No</v>
      </c>
    </row>
    <row r="342" spans="1:31" x14ac:dyDescent="0.25">
      <c r="A342" s="227"/>
      <c r="B342" s="228"/>
      <c r="C342" s="228"/>
      <c r="D342" s="229"/>
      <c r="E342" s="229"/>
      <c r="F342" s="229"/>
      <c r="G342" s="229"/>
      <c r="H342" s="230"/>
      <c r="I342" s="229"/>
      <c r="J342" s="220"/>
      <c r="K342" s="216"/>
      <c r="L342" s="216"/>
      <c r="M342" s="217"/>
      <c r="N342" s="217"/>
      <c r="O342" s="217"/>
      <c r="P342" s="213" t="str">
        <f t="shared" si="70"/>
        <v>No</v>
      </c>
      <c r="Q342" s="148" t="str">
        <f t="shared" si="71"/>
        <v>No</v>
      </c>
      <c r="R342" t="e">
        <f>VLOOKUP(F342, Property!A:B, 2,0)</f>
        <v>#N/A</v>
      </c>
      <c r="T342">
        <f t="shared" si="72"/>
        <v>0</v>
      </c>
      <c r="U342">
        <f t="shared" si="73"/>
        <v>0</v>
      </c>
      <c r="V342">
        <f t="shared" si="74"/>
        <v>0</v>
      </c>
      <c r="W342">
        <f t="shared" si="75"/>
        <v>0</v>
      </c>
      <c r="X342">
        <f t="shared" si="76"/>
        <v>0</v>
      </c>
      <c r="Y342">
        <f t="shared" si="77"/>
        <v>0</v>
      </c>
      <c r="Z342" s="150" t="str">
        <f t="shared" si="78"/>
        <v>No</v>
      </c>
      <c r="AA342" s="150" t="str">
        <f t="shared" si="79"/>
        <v>No</v>
      </c>
      <c r="AB342">
        <f t="shared" si="80"/>
        <v>0</v>
      </c>
      <c r="AC342">
        <f t="shared" si="81"/>
        <v>0</v>
      </c>
      <c r="AD342" t="str">
        <f t="shared" si="82"/>
        <v>No</v>
      </c>
      <c r="AE342" t="str">
        <f t="shared" si="83"/>
        <v>No</v>
      </c>
    </row>
    <row r="343" spans="1:31" x14ac:dyDescent="0.25">
      <c r="A343" s="227"/>
      <c r="B343" s="228"/>
      <c r="C343" s="228"/>
      <c r="D343" s="229"/>
      <c r="E343" s="229"/>
      <c r="F343" s="229"/>
      <c r="G343" s="229"/>
      <c r="H343" s="230"/>
      <c r="I343" s="229"/>
      <c r="J343" s="220"/>
      <c r="K343" s="216"/>
      <c r="L343" s="216"/>
      <c r="M343" s="217"/>
      <c r="N343" s="217"/>
      <c r="O343" s="217"/>
      <c r="P343" s="213" t="str">
        <f t="shared" si="70"/>
        <v>No</v>
      </c>
      <c r="Q343" s="148" t="str">
        <f t="shared" si="71"/>
        <v>No</v>
      </c>
      <c r="R343" t="e">
        <f>VLOOKUP(F343, Property!A:B, 2,0)</f>
        <v>#N/A</v>
      </c>
      <c r="T343">
        <f t="shared" si="72"/>
        <v>0</v>
      </c>
      <c r="U343">
        <f t="shared" si="73"/>
        <v>0</v>
      </c>
      <c r="V343">
        <f t="shared" si="74"/>
        <v>0</v>
      </c>
      <c r="W343">
        <f t="shared" si="75"/>
        <v>0</v>
      </c>
      <c r="X343">
        <f t="shared" si="76"/>
        <v>0</v>
      </c>
      <c r="Y343">
        <f t="shared" si="77"/>
        <v>0</v>
      </c>
      <c r="Z343" s="150" t="str">
        <f t="shared" si="78"/>
        <v>No</v>
      </c>
      <c r="AA343" s="150" t="str">
        <f t="shared" si="79"/>
        <v>No</v>
      </c>
      <c r="AB343">
        <f t="shared" si="80"/>
        <v>0</v>
      </c>
      <c r="AC343">
        <f t="shared" si="81"/>
        <v>0</v>
      </c>
      <c r="AD343" t="str">
        <f t="shared" si="82"/>
        <v>No</v>
      </c>
      <c r="AE343" t="str">
        <f t="shared" si="83"/>
        <v>No</v>
      </c>
    </row>
    <row r="344" spans="1:31" x14ac:dyDescent="0.25">
      <c r="A344" s="227"/>
      <c r="B344" s="228"/>
      <c r="C344" s="228"/>
      <c r="D344" s="229"/>
      <c r="E344" s="229"/>
      <c r="F344" s="229"/>
      <c r="G344" s="229"/>
      <c r="H344" s="230"/>
      <c r="I344" s="229"/>
      <c r="J344" s="220"/>
      <c r="K344" s="216"/>
      <c r="L344" s="216"/>
      <c r="M344" s="217"/>
      <c r="N344" s="217"/>
      <c r="O344" s="217"/>
      <c r="P344" s="213" t="str">
        <f t="shared" si="70"/>
        <v>No</v>
      </c>
      <c r="Q344" s="148" t="str">
        <f t="shared" si="71"/>
        <v>No</v>
      </c>
      <c r="R344" t="e">
        <f>VLOOKUP(F344, Property!A:B, 2,0)</f>
        <v>#N/A</v>
      </c>
      <c r="T344">
        <f t="shared" si="72"/>
        <v>0</v>
      </c>
      <c r="U344">
        <f t="shared" si="73"/>
        <v>0</v>
      </c>
      <c r="V344">
        <f t="shared" si="74"/>
        <v>0</v>
      </c>
      <c r="W344">
        <f t="shared" si="75"/>
        <v>0</v>
      </c>
      <c r="X344">
        <f t="shared" si="76"/>
        <v>0</v>
      </c>
      <c r="Y344">
        <f t="shared" si="77"/>
        <v>0</v>
      </c>
      <c r="Z344" s="150" t="str">
        <f t="shared" si="78"/>
        <v>No</v>
      </c>
      <c r="AA344" s="150" t="str">
        <f t="shared" si="79"/>
        <v>No</v>
      </c>
      <c r="AB344">
        <f t="shared" si="80"/>
        <v>0</v>
      </c>
      <c r="AC344">
        <f t="shared" si="81"/>
        <v>0</v>
      </c>
      <c r="AD344" t="str">
        <f t="shared" si="82"/>
        <v>No</v>
      </c>
      <c r="AE344" t="str">
        <f t="shared" si="83"/>
        <v>No</v>
      </c>
    </row>
    <row r="345" spans="1:31" x14ac:dyDescent="0.25">
      <c r="A345" s="227"/>
      <c r="B345" s="228"/>
      <c r="C345" s="228"/>
      <c r="D345" s="229"/>
      <c r="E345" s="229"/>
      <c r="F345" s="229"/>
      <c r="G345" s="229"/>
      <c r="H345" s="230"/>
      <c r="I345" s="229"/>
      <c r="J345" s="220"/>
      <c r="K345" s="216"/>
      <c r="L345" s="216"/>
      <c r="M345" s="217"/>
      <c r="N345" s="217"/>
      <c r="O345" s="217"/>
      <c r="P345" s="213" t="str">
        <f t="shared" si="70"/>
        <v>No</v>
      </c>
      <c r="Q345" s="148" t="str">
        <f t="shared" si="71"/>
        <v>No</v>
      </c>
      <c r="R345" t="e">
        <f>VLOOKUP(F345, Property!A:B, 2,0)</f>
        <v>#N/A</v>
      </c>
      <c r="T345">
        <f t="shared" si="72"/>
        <v>0</v>
      </c>
      <c r="U345">
        <f t="shared" si="73"/>
        <v>0</v>
      </c>
      <c r="V345">
        <f t="shared" si="74"/>
        <v>0</v>
      </c>
      <c r="W345">
        <f t="shared" si="75"/>
        <v>0</v>
      </c>
      <c r="X345">
        <f t="shared" si="76"/>
        <v>0</v>
      </c>
      <c r="Y345">
        <f t="shared" si="77"/>
        <v>0</v>
      </c>
      <c r="Z345" s="150" t="str">
        <f t="shared" si="78"/>
        <v>No</v>
      </c>
      <c r="AA345" s="150" t="str">
        <f t="shared" si="79"/>
        <v>No</v>
      </c>
      <c r="AB345">
        <f t="shared" si="80"/>
        <v>0</v>
      </c>
      <c r="AC345">
        <f t="shared" si="81"/>
        <v>0</v>
      </c>
      <c r="AD345" t="str">
        <f t="shared" si="82"/>
        <v>No</v>
      </c>
      <c r="AE345" t="str">
        <f t="shared" si="83"/>
        <v>No</v>
      </c>
    </row>
    <row r="346" spans="1:31" x14ac:dyDescent="0.25">
      <c r="A346" s="227"/>
      <c r="B346" s="228"/>
      <c r="C346" s="228"/>
      <c r="D346" s="229"/>
      <c r="E346" s="229"/>
      <c r="F346" s="229"/>
      <c r="G346" s="229"/>
      <c r="H346" s="230"/>
      <c r="I346" s="229"/>
      <c r="J346" s="220"/>
      <c r="K346" s="216"/>
      <c r="L346" s="216"/>
      <c r="M346" s="217"/>
      <c r="N346" s="217"/>
      <c r="O346" s="217"/>
      <c r="P346" s="213" t="str">
        <f t="shared" si="70"/>
        <v>No</v>
      </c>
      <c r="Q346" s="148" t="str">
        <f t="shared" si="71"/>
        <v>No</v>
      </c>
      <c r="R346" t="e">
        <f>VLOOKUP(F346, Property!A:B, 2,0)</f>
        <v>#N/A</v>
      </c>
      <c r="T346">
        <f t="shared" si="72"/>
        <v>0</v>
      </c>
      <c r="U346">
        <f t="shared" si="73"/>
        <v>0</v>
      </c>
      <c r="V346">
        <f t="shared" si="74"/>
        <v>0</v>
      </c>
      <c r="W346">
        <f t="shared" si="75"/>
        <v>0</v>
      </c>
      <c r="X346">
        <f t="shared" si="76"/>
        <v>0</v>
      </c>
      <c r="Y346">
        <f t="shared" si="77"/>
        <v>0</v>
      </c>
      <c r="Z346" s="150" t="str">
        <f t="shared" si="78"/>
        <v>No</v>
      </c>
      <c r="AA346" s="150" t="str">
        <f t="shared" si="79"/>
        <v>No</v>
      </c>
      <c r="AB346">
        <f t="shared" si="80"/>
        <v>0</v>
      </c>
      <c r="AC346">
        <f t="shared" si="81"/>
        <v>0</v>
      </c>
      <c r="AD346" t="str">
        <f t="shared" si="82"/>
        <v>No</v>
      </c>
      <c r="AE346" t="str">
        <f t="shared" si="83"/>
        <v>No</v>
      </c>
    </row>
    <row r="347" spans="1:31" x14ac:dyDescent="0.25">
      <c r="A347" s="221"/>
      <c r="B347" s="222"/>
      <c r="C347" s="222"/>
      <c r="D347" s="223"/>
      <c r="E347" s="223"/>
      <c r="F347" s="223"/>
      <c r="G347" s="223"/>
      <c r="H347" s="224"/>
      <c r="I347" s="225"/>
      <c r="J347" s="216"/>
      <c r="K347" s="216"/>
      <c r="L347" s="216"/>
      <c r="M347" s="217"/>
      <c r="N347" s="217"/>
      <c r="O347" s="217"/>
      <c r="P347" s="213" t="str">
        <f t="shared" si="70"/>
        <v>No</v>
      </c>
      <c r="Q347" s="148" t="str">
        <f t="shared" si="71"/>
        <v>No</v>
      </c>
      <c r="R347" t="e">
        <f>VLOOKUP(F347, Property!A:B, 2,0)</f>
        <v>#N/A</v>
      </c>
      <c r="T347">
        <f t="shared" si="72"/>
        <v>0</v>
      </c>
      <c r="U347">
        <f t="shared" si="73"/>
        <v>0</v>
      </c>
      <c r="V347">
        <f t="shared" si="74"/>
        <v>0</v>
      </c>
      <c r="W347">
        <f t="shared" si="75"/>
        <v>0</v>
      </c>
      <c r="X347">
        <f t="shared" si="76"/>
        <v>0</v>
      </c>
      <c r="Y347">
        <f t="shared" si="77"/>
        <v>0</v>
      </c>
      <c r="Z347" s="150" t="str">
        <f t="shared" si="78"/>
        <v>No</v>
      </c>
      <c r="AA347" s="150" t="str">
        <f t="shared" si="79"/>
        <v>No</v>
      </c>
      <c r="AB347">
        <f t="shared" si="80"/>
        <v>0</v>
      </c>
      <c r="AC347">
        <f t="shared" si="81"/>
        <v>0</v>
      </c>
      <c r="AD347" t="str">
        <f t="shared" si="82"/>
        <v>No</v>
      </c>
      <c r="AE347" t="str">
        <f t="shared" si="83"/>
        <v>No</v>
      </c>
    </row>
    <row r="348" spans="1:31" x14ac:dyDescent="0.25">
      <c r="A348" s="214"/>
      <c r="B348" s="215"/>
      <c r="C348" s="215"/>
      <c r="D348" s="216"/>
      <c r="E348" s="216"/>
      <c r="F348" s="216"/>
      <c r="G348" s="216"/>
      <c r="H348" s="218"/>
      <c r="I348" s="217"/>
      <c r="J348" s="216"/>
      <c r="K348" s="216"/>
      <c r="L348" s="216"/>
      <c r="M348" s="217"/>
      <c r="N348" s="217"/>
      <c r="O348" s="217"/>
      <c r="P348" s="213" t="str">
        <f t="shared" si="70"/>
        <v>No</v>
      </c>
      <c r="Q348" s="148" t="str">
        <f t="shared" si="71"/>
        <v>No</v>
      </c>
      <c r="R348" t="e">
        <f>VLOOKUP(F348, Property!A:B, 2,0)</f>
        <v>#N/A</v>
      </c>
      <c r="T348">
        <f t="shared" si="72"/>
        <v>0</v>
      </c>
      <c r="U348">
        <f t="shared" si="73"/>
        <v>0</v>
      </c>
      <c r="V348">
        <f t="shared" si="74"/>
        <v>0</v>
      </c>
      <c r="W348">
        <f t="shared" si="75"/>
        <v>0</v>
      </c>
      <c r="X348">
        <f t="shared" si="76"/>
        <v>0</v>
      </c>
      <c r="Y348">
        <f t="shared" si="77"/>
        <v>0</v>
      </c>
      <c r="Z348" s="150" t="str">
        <f t="shared" si="78"/>
        <v>No</v>
      </c>
      <c r="AA348" s="150" t="str">
        <f t="shared" si="79"/>
        <v>No</v>
      </c>
      <c r="AB348">
        <f t="shared" si="80"/>
        <v>0</v>
      </c>
      <c r="AC348">
        <f t="shared" si="81"/>
        <v>0</v>
      </c>
      <c r="AD348" t="str">
        <f t="shared" si="82"/>
        <v>No</v>
      </c>
      <c r="AE348" t="str">
        <f t="shared" si="83"/>
        <v>No</v>
      </c>
    </row>
    <row r="349" spans="1:31" x14ac:dyDescent="0.25">
      <c r="A349" s="214"/>
      <c r="B349" s="215"/>
      <c r="C349" s="215"/>
      <c r="D349" s="216"/>
      <c r="E349" s="216"/>
      <c r="F349" s="216"/>
      <c r="G349" s="216"/>
      <c r="H349" s="218"/>
      <c r="I349" s="217"/>
      <c r="J349" s="216"/>
      <c r="K349" s="216"/>
      <c r="L349" s="216"/>
      <c r="M349" s="217"/>
      <c r="N349" s="217"/>
      <c r="O349" s="217"/>
      <c r="P349" s="213" t="str">
        <f t="shared" si="70"/>
        <v>No</v>
      </c>
      <c r="Q349" s="148" t="str">
        <f t="shared" si="71"/>
        <v>No</v>
      </c>
      <c r="R349" t="e">
        <f>VLOOKUP(F349, Property!A:B, 2,0)</f>
        <v>#N/A</v>
      </c>
      <c r="T349">
        <f t="shared" si="72"/>
        <v>0</v>
      </c>
      <c r="U349">
        <f t="shared" si="73"/>
        <v>0</v>
      </c>
      <c r="V349">
        <f t="shared" si="74"/>
        <v>0</v>
      </c>
      <c r="W349">
        <f t="shared" si="75"/>
        <v>0</v>
      </c>
      <c r="X349">
        <f t="shared" si="76"/>
        <v>0</v>
      </c>
      <c r="Y349">
        <f t="shared" si="77"/>
        <v>0</v>
      </c>
      <c r="Z349" s="150" t="str">
        <f t="shared" si="78"/>
        <v>No</v>
      </c>
      <c r="AA349" s="150" t="str">
        <f t="shared" si="79"/>
        <v>No</v>
      </c>
      <c r="AB349">
        <f t="shared" si="80"/>
        <v>0</v>
      </c>
      <c r="AC349">
        <f t="shared" si="81"/>
        <v>0</v>
      </c>
      <c r="AD349" t="str">
        <f t="shared" si="82"/>
        <v>No</v>
      </c>
      <c r="AE349" t="str">
        <f t="shared" si="83"/>
        <v>No</v>
      </c>
    </row>
    <row r="350" spans="1:31" x14ac:dyDescent="0.25">
      <c r="A350" s="214"/>
      <c r="B350" s="215"/>
      <c r="C350" s="215"/>
      <c r="D350" s="216"/>
      <c r="E350" s="216"/>
      <c r="F350" s="216"/>
      <c r="G350" s="216"/>
      <c r="H350" s="218"/>
      <c r="I350" s="217"/>
      <c r="J350" s="216"/>
      <c r="K350" s="216"/>
      <c r="L350" s="216"/>
      <c r="M350" s="217"/>
      <c r="N350" s="217"/>
      <c r="O350" s="217"/>
      <c r="P350" s="213" t="str">
        <f t="shared" si="70"/>
        <v>No</v>
      </c>
      <c r="Q350" s="148" t="str">
        <f t="shared" si="71"/>
        <v>No</v>
      </c>
      <c r="R350" t="e">
        <f>VLOOKUP(F350, Property!A:B, 2,0)</f>
        <v>#N/A</v>
      </c>
      <c r="T350">
        <f t="shared" si="72"/>
        <v>0</v>
      </c>
      <c r="U350">
        <f t="shared" si="73"/>
        <v>0</v>
      </c>
      <c r="V350">
        <f t="shared" si="74"/>
        <v>0</v>
      </c>
      <c r="W350">
        <f t="shared" si="75"/>
        <v>0</v>
      </c>
      <c r="X350">
        <f t="shared" si="76"/>
        <v>0</v>
      </c>
      <c r="Y350">
        <f t="shared" si="77"/>
        <v>0</v>
      </c>
      <c r="Z350" s="150" t="str">
        <f t="shared" si="78"/>
        <v>No</v>
      </c>
      <c r="AA350" s="150" t="str">
        <f t="shared" si="79"/>
        <v>No</v>
      </c>
      <c r="AB350">
        <f t="shared" si="80"/>
        <v>0</v>
      </c>
      <c r="AC350">
        <f t="shared" si="81"/>
        <v>0</v>
      </c>
      <c r="AD350" t="str">
        <f t="shared" si="82"/>
        <v>No</v>
      </c>
      <c r="AE350" t="str">
        <f t="shared" si="83"/>
        <v>No</v>
      </c>
    </row>
    <row r="351" spans="1:31" x14ac:dyDescent="0.25">
      <c r="A351" s="214"/>
      <c r="B351" s="215"/>
      <c r="C351" s="215"/>
      <c r="D351" s="216"/>
      <c r="E351" s="216"/>
      <c r="F351" s="216"/>
      <c r="G351" s="216"/>
      <c r="H351" s="218"/>
      <c r="I351" s="217"/>
      <c r="J351" s="216"/>
      <c r="K351" s="216"/>
      <c r="L351" s="216"/>
      <c r="M351" s="217"/>
      <c r="N351" s="217"/>
      <c r="O351" s="217"/>
      <c r="P351" s="213" t="str">
        <f t="shared" si="70"/>
        <v>No</v>
      </c>
      <c r="Q351" s="148" t="str">
        <f t="shared" si="71"/>
        <v>No</v>
      </c>
      <c r="R351" t="e">
        <f>VLOOKUP(F351, Property!A:B, 2,0)</f>
        <v>#N/A</v>
      </c>
      <c r="T351">
        <f t="shared" si="72"/>
        <v>0</v>
      </c>
      <c r="U351">
        <f t="shared" si="73"/>
        <v>0</v>
      </c>
      <c r="V351">
        <f t="shared" si="74"/>
        <v>0</v>
      </c>
      <c r="W351">
        <f t="shared" si="75"/>
        <v>0</v>
      </c>
      <c r="X351">
        <f t="shared" si="76"/>
        <v>0</v>
      </c>
      <c r="Y351">
        <f t="shared" si="77"/>
        <v>0</v>
      </c>
      <c r="Z351" s="150" t="str">
        <f t="shared" si="78"/>
        <v>No</v>
      </c>
      <c r="AA351" s="150" t="str">
        <f t="shared" si="79"/>
        <v>No</v>
      </c>
      <c r="AB351">
        <f t="shared" si="80"/>
        <v>0</v>
      </c>
      <c r="AC351">
        <f t="shared" si="81"/>
        <v>0</v>
      </c>
      <c r="AD351" t="str">
        <f t="shared" si="82"/>
        <v>No</v>
      </c>
      <c r="AE351" t="str">
        <f t="shared" si="83"/>
        <v>No</v>
      </c>
    </row>
    <row r="352" spans="1:31" x14ac:dyDescent="0.25">
      <c r="A352" s="214"/>
      <c r="B352" s="215"/>
      <c r="C352" s="215"/>
      <c r="D352" s="216"/>
      <c r="E352" s="216"/>
      <c r="F352" s="216"/>
      <c r="G352" s="216"/>
      <c r="H352" s="218"/>
      <c r="I352" s="217"/>
      <c r="J352" s="216"/>
      <c r="K352" s="216"/>
      <c r="L352" s="216"/>
      <c r="M352" s="217"/>
      <c r="N352" s="217"/>
      <c r="O352" s="217"/>
      <c r="P352" s="213" t="str">
        <f t="shared" si="70"/>
        <v>No</v>
      </c>
      <c r="Q352" s="148" t="str">
        <f t="shared" si="71"/>
        <v>No</v>
      </c>
      <c r="R352" t="e">
        <f>VLOOKUP(F352, Property!A:B, 2,0)</f>
        <v>#N/A</v>
      </c>
      <c r="T352">
        <f t="shared" si="72"/>
        <v>0</v>
      </c>
      <c r="U352">
        <f t="shared" si="73"/>
        <v>0</v>
      </c>
      <c r="V352">
        <f t="shared" si="74"/>
        <v>0</v>
      </c>
      <c r="W352">
        <f t="shared" si="75"/>
        <v>0</v>
      </c>
      <c r="X352">
        <f t="shared" si="76"/>
        <v>0</v>
      </c>
      <c r="Y352">
        <f t="shared" si="77"/>
        <v>0</v>
      </c>
      <c r="Z352" s="150" t="str">
        <f t="shared" si="78"/>
        <v>No</v>
      </c>
      <c r="AA352" s="150" t="str">
        <f t="shared" si="79"/>
        <v>No</v>
      </c>
      <c r="AB352">
        <f t="shared" si="80"/>
        <v>0</v>
      </c>
      <c r="AC352">
        <f t="shared" si="81"/>
        <v>0</v>
      </c>
      <c r="AD352" t="str">
        <f t="shared" si="82"/>
        <v>No</v>
      </c>
      <c r="AE352" t="str">
        <f t="shared" si="83"/>
        <v>No</v>
      </c>
    </row>
    <row r="353" spans="1:31" x14ac:dyDescent="0.25">
      <c r="A353" s="214"/>
      <c r="B353" s="215"/>
      <c r="C353" s="215"/>
      <c r="D353" s="216"/>
      <c r="E353" s="216"/>
      <c r="F353" s="216"/>
      <c r="G353" s="216"/>
      <c r="H353" s="218"/>
      <c r="I353" s="217"/>
      <c r="J353" s="216"/>
      <c r="K353" s="216"/>
      <c r="L353" s="216"/>
      <c r="M353" s="217"/>
      <c r="N353" s="217"/>
      <c r="O353" s="217"/>
      <c r="P353" s="213" t="str">
        <f t="shared" si="70"/>
        <v>No</v>
      </c>
      <c r="Q353" s="148" t="str">
        <f t="shared" si="71"/>
        <v>No</v>
      </c>
      <c r="R353" t="e">
        <f>VLOOKUP(F353, Property!A:B, 2,0)</f>
        <v>#N/A</v>
      </c>
      <c r="T353">
        <f t="shared" si="72"/>
        <v>0</v>
      </c>
      <c r="U353">
        <f t="shared" si="73"/>
        <v>0</v>
      </c>
      <c r="V353">
        <f t="shared" si="74"/>
        <v>0</v>
      </c>
      <c r="W353">
        <f t="shared" si="75"/>
        <v>0</v>
      </c>
      <c r="X353">
        <f t="shared" si="76"/>
        <v>0</v>
      </c>
      <c r="Y353">
        <f t="shared" si="77"/>
        <v>0</v>
      </c>
      <c r="Z353" s="150" t="str">
        <f t="shared" si="78"/>
        <v>No</v>
      </c>
      <c r="AA353" s="150" t="str">
        <f t="shared" si="79"/>
        <v>No</v>
      </c>
      <c r="AB353">
        <f t="shared" si="80"/>
        <v>0</v>
      </c>
      <c r="AC353">
        <f t="shared" si="81"/>
        <v>0</v>
      </c>
      <c r="AD353" t="str">
        <f t="shared" si="82"/>
        <v>No</v>
      </c>
      <c r="AE353" t="str">
        <f t="shared" si="83"/>
        <v>No</v>
      </c>
    </row>
    <row r="354" spans="1:31" x14ac:dyDescent="0.25">
      <c r="A354" s="214"/>
      <c r="B354" s="215"/>
      <c r="C354" s="215"/>
      <c r="D354" s="216"/>
      <c r="E354" s="216"/>
      <c r="F354" s="216"/>
      <c r="G354" s="216"/>
      <c r="H354" s="218"/>
      <c r="I354" s="217"/>
      <c r="J354" s="216"/>
      <c r="K354" s="216"/>
      <c r="L354" s="216"/>
      <c r="M354" s="217"/>
      <c r="N354" s="217"/>
      <c r="O354" s="217"/>
      <c r="P354" s="213" t="str">
        <f t="shared" si="70"/>
        <v>No</v>
      </c>
      <c r="Q354" s="148" t="str">
        <f t="shared" si="71"/>
        <v>No</v>
      </c>
      <c r="R354" t="e">
        <f>VLOOKUP(F354, Property!A:B, 2,0)</f>
        <v>#N/A</v>
      </c>
      <c r="T354">
        <f t="shared" si="72"/>
        <v>0</v>
      </c>
      <c r="U354">
        <f t="shared" si="73"/>
        <v>0</v>
      </c>
      <c r="V354">
        <f t="shared" si="74"/>
        <v>0</v>
      </c>
      <c r="W354">
        <f t="shared" si="75"/>
        <v>0</v>
      </c>
      <c r="X354">
        <f t="shared" si="76"/>
        <v>0</v>
      </c>
      <c r="Y354">
        <f t="shared" si="77"/>
        <v>0</v>
      </c>
      <c r="Z354" s="150" t="str">
        <f t="shared" si="78"/>
        <v>No</v>
      </c>
      <c r="AA354" s="150" t="str">
        <f t="shared" si="79"/>
        <v>No</v>
      </c>
      <c r="AB354">
        <f t="shared" si="80"/>
        <v>0</v>
      </c>
      <c r="AC354">
        <f t="shared" si="81"/>
        <v>0</v>
      </c>
      <c r="AD354" t="str">
        <f t="shared" si="82"/>
        <v>No</v>
      </c>
      <c r="AE354" t="str">
        <f t="shared" si="83"/>
        <v>No</v>
      </c>
    </row>
    <row r="355" spans="1:31" x14ac:dyDescent="0.25">
      <c r="A355" s="214"/>
      <c r="B355" s="215"/>
      <c r="C355" s="215"/>
      <c r="D355" s="216"/>
      <c r="E355" s="216"/>
      <c r="F355" s="216"/>
      <c r="G355" s="216"/>
      <c r="H355" s="218"/>
      <c r="I355" s="217"/>
      <c r="J355" s="216"/>
      <c r="K355" s="216"/>
      <c r="L355" s="216"/>
      <c r="M355" s="217"/>
      <c r="N355" s="217"/>
      <c r="O355" s="217"/>
      <c r="P355" s="213" t="str">
        <f t="shared" si="70"/>
        <v>No</v>
      </c>
      <c r="Q355" s="148" t="str">
        <f t="shared" si="71"/>
        <v>No</v>
      </c>
      <c r="R355" t="e">
        <f>VLOOKUP(F355, Property!A:B, 2,0)</f>
        <v>#N/A</v>
      </c>
      <c r="T355">
        <f t="shared" si="72"/>
        <v>0</v>
      </c>
      <c r="U355">
        <f t="shared" si="73"/>
        <v>0</v>
      </c>
      <c r="V355">
        <f t="shared" si="74"/>
        <v>0</v>
      </c>
      <c r="W355">
        <f t="shared" si="75"/>
        <v>0</v>
      </c>
      <c r="X355">
        <f t="shared" si="76"/>
        <v>0</v>
      </c>
      <c r="Y355">
        <f t="shared" si="77"/>
        <v>0</v>
      </c>
      <c r="Z355" s="150" t="str">
        <f t="shared" si="78"/>
        <v>No</v>
      </c>
      <c r="AA355" s="150" t="str">
        <f t="shared" si="79"/>
        <v>No</v>
      </c>
      <c r="AB355">
        <f t="shared" si="80"/>
        <v>0</v>
      </c>
      <c r="AC355">
        <f t="shared" si="81"/>
        <v>0</v>
      </c>
      <c r="AD355" t="str">
        <f t="shared" si="82"/>
        <v>No</v>
      </c>
      <c r="AE355" t="str">
        <f t="shared" si="83"/>
        <v>No</v>
      </c>
    </row>
    <row r="356" spans="1:31" x14ac:dyDescent="0.25">
      <c r="A356" s="214"/>
      <c r="B356" s="215"/>
      <c r="C356" s="215"/>
      <c r="D356" s="216"/>
      <c r="E356" s="216"/>
      <c r="F356" s="216"/>
      <c r="G356" s="216"/>
      <c r="H356" s="218"/>
      <c r="I356" s="217"/>
      <c r="J356" s="216"/>
      <c r="K356" s="216"/>
      <c r="L356" s="216"/>
      <c r="M356" s="217"/>
      <c r="N356" s="217"/>
      <c r="O356" s="217"/>
      <c r="P356" s="213" t="str">
        <f t="shared" si="70"/>
        <v>No</v>
      </c>
      <c r="Q356" s="148" t="str">
        <f t="shared" si="71"/>
        <v>No</v>
      </c>
      <c r="R356" t="e">
        <f>VLOOKUP(F356, Property!A:B, 2,0)</f>
        <v>#N/A</v>
      </c>
      <c r="T356">
        <f t="shared" si="72"/>
        <v>0</v>
      </c>
      <c r="U356">
        <f t="shared" si="73"/>
        <v>0</v>
      </c>
      <c r="V356">
        <f t="shared" si="74"/>
        <v>0</v>
      </c>
      <c r="W356">
        <f t="shared" si="75"/>
        <v>0</v>
      </c>
      <c r="X356">
        <f t="shared" si="76"/>
        <v>0</v>
      </c>
      <c r="Y356">
        <f t="shared" si="77"/>
        <v>0</v>
      </c>
      <c r="Z356" s="150" t="str">
        <f t="shared" si="78"/>
        <v>No</v>
      </c>
      <c r="AA356" s="150" t="str">
        <f t="shared" si="79"/>
        <v>No</v>
      </c>
      <c r="AB356">
        <f t="shared" si="80"/>
        <v>0</v>
      </c>
      <c r="AC356">
        <f t="shared" si="81"/>
        <v>0</v>
      </c>
      <c r="AD356" t="str">
        <f t="shared" si="82"/>
        <v>No</v>
      </c>
      <c r="AE356" t="str">
        <f t="shared" si="83"/>
        <v>No</v>
      </c>
    </row>
    <row r="357" spans="1:31" x14ac:dyDescent="0.25">
      <c r="A357" s="214"/>
      <c r="B357" s="215"/>
      <c r="C357" s="215"/>
      <c r="D357" s="216"/>
      <c r="E357" s="216"/>
      <c r="F357" s="216"/>
      <c r="G357" s="216"/>
      <c r="H357" s="218"/>
      <c r="I357" s="217"/>
      <c r="J357" s="216"/>
      <c r="K357" s="216"/>
      <c r="L357" s="216"/>
      <c r="M357" s="217"/>
      <c r="N357" s="217"/>
      <c r="O357" s="217"/>
      <c r="P357" s="213" t="str">
        <f t="shared" si="70"/>
        <v>No</v>
      </c>
      <c r="Q357" s="148" t="str">
        <f t="shared" si="71"/>
        <v>No</v>
      </c>
      <c r="R357" t="e">
        <f>VLOOKUP(F357, Property!A:B, 2,0)</f>
        <v>#N/A</v>
      </c>
      <c r="T357">
        <f t="shared" si="72"/>
        <v>0</v>
      </c>
      <c r="U357">
        <f t="shared" si="73"/>
        <v>0</v>
      </c>
      <c r="V357">
        <f t="shared" si="74"/>
        <v>0</v>
      </c>
      <c r="W357">
        <f t="shared" si="75"/>
        <v>0</v>
      </c>
      <c r="X357">
        <f t="shared" si="76"/>
        <v>0</v>
      </c>
      <c r="Y357">
        <f t="shared" si="77"/>
        <v>0</v>
      </c>
      <c r="Z357" s="150" t="str">
        <f t="shared" si="78"/>
        <v>No</v>
      </c>
      <c r="AA357" s="150" t="str">
        <f t="shared" si="79"/>
        <v>No</v>
      </c>
      <c r="AB357">
        <f t="shared" si="80"/>
        <v>0</v>
      </c>
      <c r="AC357">
        <f t="shared" si="81"/>
        <v>0</v>
      </c>
      <c r="AD357" t="str">
        <f t="shared" si="82"/>
        <v>No</v>
      </c>
      <c r="AE357" t="str">
        <f t="shared" si="83"/>
        <v>No</v>
      </c>
    </row>
    <row r="358" spans="1:31" x14ac:dyDescent="0.25">
      <c r="A358" s="214"/>
      <c r="B358" s="215"/>
      <c r="C358" s="215"/>
      <c r="D358" s="216"/>
      <c r="E358" s="216"/>
      <c r="F358" s="216"/>
      <c r="G358" s="216"/>
      <c r="H358" s="218"/>
      <c r="I358" s="217"/>
      <c r="J358" s="216"/>
      <c r="K358" s="216"/>
      <c r="L358" s="216"/>
      <c r="M358" s="217"/>
      <c r="N358" s="217"/>
      <c r="O358" s="217"/>
      <c r="P358" s="213" t="str">
        <f t="shared" si="70"/>
        <v>No</v>
      </c>
      <c r="Q358" s="148" t="str">
        <f t="shared" si="71"/>
        <v>No</v>
      </c>
      <c r="R358" t="e">
        <f>VLOOKUP(F358, Property!A:B, 2,0)</f>
        <v>#N/A</v>
      </c>
      <c r="T358">
        <f t="shared" si="72"/>
        <v>0</v>
      </c>
      <c r="U358">
        <f t="shared" si="73"/>
        <v>0</v>
      </c>
      <c r="V358">
        <f t="shared" si="74"/>
        <v>0</v>
      </c>
      <c r="W358">
        <f t="shared" si="75"/>
        <v>0</v>
      </c>
      <c r="X358">
        <f t="shared" si="76"/>
        <v>0</v>
      </c>
      <c r="Y358">
        <f t="shared" si="77"/>
        <v>0</v>
      </c>
      <c r="Z358" s="150" t="str">
        <f t="shared" si="78"/>
        <v>No</v>
      </c>
      <c r="AA358" s="150" t="str">
        <f t="shared" si="79"/>
        <v>No</v>
      </c>
      <c r="AB358">
        <f t="shared" si="80"/>
        <v>0</v>
      </c>
      <c r="AC358">
        <f t="shared" si="81"/>
        <v>0</v>
      </c>
      <c r="AD358" t="str">
        <f t="shared" si="82"/>
        <v>No</v>
      </c>
      <c r="AE358" t="str">
        <f t="shared" si="83"/>
        <v>No</v>
      </c>
    </row>
    <row r="359" spans="1:31" x14ac:dyDescent="0.25">
      <c r="A359" s="214"/>
      <c r="B359" s="215"/>
      <c r="C359" s="215"/>
      <c r="D359" s="216"/>
      <c r="E359" s="216"/>
      <c r="F359" s="216"/>
      <c r="G359" s="216"/>
      <c r="H359" s="218"/>
      <c r="I359" s="217"/>
      <c r="J359" s="216"/>
      <c r="K359" s="216"/>
      <c r="L359" s="216"/>
      <c r="M359" s="217"/>
      <c r="N359" s="217"/>
      <c r="O359" s="217"/>
      <c r="P359" s="213" t="str">
        <f t="shared" si="70"/>
        <v>No</v>
      </c>
      <c r="Q359" s="148" t="str">
        <f t="shared" si="71"/>
        <v>No</v>
      </c>
      <c r="R359" t="e">
        <f>VLOOKUP(F359, Property!A:B, 2,0)</f>
        <v>#N/A</v>
      </c>
      <c r="T359">
        <f t="shared" si="72"/>
        <v>0</v>
      </c>
      <c r="U359">
        <f t="shared" si="73"/>
        <v>0</v>
      </c>
      <c r="V359">
        <f t="shared" si="74"/>
        <v>0</v>
      </c>
      <c r="W359">
        <f t="shared" si="75"/>
        <v>0</v>
      </c>
      <c r="X359">
        <f t="shared" si="76"/>
        <v>0</v>
      </c>
      <c r="Y359">
        <f t="shared" si="77"/>
        <v>0</v>
      </c>
      <c r="Z359" s="150" t="str">
        <f t="shared" si="78"/>
        <v>No</v>
      </c>
      <c r="AA359" s="150" t="str">
        <f t="shared" si="79"/>
        <v>No</v>
      </c>
      <c r="AB359">
        <f t="shared" si="80"/>
        <v>0</v>
      </c>
      <c r="AC359">
        <f t="shared" si="81"/>
        <v>0</v>
      </c>
      <c r="AD359" t="str">
        <f t="shared" si="82"/>
        <v>No</v>
      </c>
      <c r="AE359" t="str">
        <f t="shared" si="83"/>
        <v>No</v>
      </c>
    </row>
    <row r="360" spans="1:31" x14ac:dyDescent="0.25">
      <c r="A360" s="214"/>
      <c r="B360" s="215"/>
      <c r="C360" s="215"/>
      <c r="D360" s="216"/>
      <c r="E360" s="216"/>
      <c r="F360" s="216"/>
      <c r="G360" s="216"/>
      <c r="H360" s="218"/>
      <c r="I360" s="217"/>
      <c r="J360" s="216"/>
      <c r="K360" s="216"/>
      <c r="L360" s="216"/>
      <c r="M360" s="217"/>
      <c r="N360" s="217"/>
      <c r="O360" s="217"/>
      <c r="P360" s="213" t="str">
        <f t="shared" si="70"/>
        <v>No</v>
      </c>
      <c r="Q360" s="148" t="str">
        <f t="shared" si="71"/>
        <v>No</v>
      </c>
      <c r="R360" t="e">
        <f>VLOOKUP(F360, Property!A:B, 2,0)</f>
        <v>#N/A</v>
      </c>
      <c r="T360">
        <f t="shared" si="72"/>
        <v>0</v>
      </c>
      <c r="U360">
        <f t="shared" si="73"/>
        <v>0</v>
      </c>
      <c r="V360">
        <f t="shared" si="74"/>
        <v>0</v>
      </c>
      <c r="W360">
        <f t="shared" si="75"/>
        <v>0</v>
      </c>
      <c r="X360">
        <f t="shared" si="76"/>
        <v>0</v>
      </c>
      <c r="Y360">
        <f t="shared" si="77"/>
        <v>0</v>
      </c>
      <c r="Z360" s="150" t="str">
        <f t="shared" si="78"/>
        <v>No</v>
      </c>
      <c r="AA360" s="150" t="str">
        <f t="shared" si="79"/>
        <v>No</v>
      </c>
      <c r="AB360">
        <f t="shared" si="80"/>
        <v>0</v>
      </c>
      <c r="AC360">
        <f t="shared" si="81"/>
        <v>0</v>
      </c>
      <c r="AD360" t="str">
        <f t="shared" si="82"/>
        <v>No</v>
      </c>
      <c r="AE360" t="str">
        <f t="shared" si="83"/>
        <v>No</v>
      </c>
    </row>
    <row r="361" spans="1:31" x14ac:dyDescent="0.25">
      <c r="A361" s="214"/>
      <c r="B361" s="215"/>
      <c r="C361" s="215"/>
      <c r="D361" s="216"/>
      <c r="E361" s="216"/>
      <c r="F361" s="216"/>
      <c r="G361" s="216"/>
      <c r="H361" s="218"/>
      <c r="I361" s="217"/>
      <c r="J361" s="216"/>
      <c r="K361" s="216"/>
      <c r="L361" s="216"/>
      <c r="M361" s="217"/>
      <c r="N361" s="217"/>
      <c r="O361" s="217"/>
      <c r="P361" s="213" t="str">
        <f t="shared" si="70"/>
        <v>No</v>
      </c>
      <c r="Q361" s="148" t="str">
        <f t="shared" si="71"/>
        <v>No</v>
      </c>
      <c r="R361" t="e">
        <f>VLOOKUP(F361, Property!A:B, 2,0)</f>
        <v>#N/A</v>
      </c>
      <c r="T361">
        <f t="shared" si="72"/>
        <v>0</v>
      </c>
      <c r="U361">
        <f t="shared" si="73"/>
        <v>0</v>
      </c>
      <c r="V361">
        <f t="shared" si="74"/>
        <v>0</v>
      </c>
      <c r="W361">
        <f t="shared" si="75"/>
        <v>0</v>
      </c>
      <c r="X361">
        <f t="shared" si="76"/>
        <v>0</v>
      </c>
      <c r="Y361">
        <f t="shared" si="77"/>
        <v>0</v>
      </c>
      <c r="Z361" s="150" t="str">
        <f t="shared" si="78"/>
        <v>No</v>
      </c>
      <c r="AA361" s="150" t="str">
        <f t="shared" si="79"/>
        <v>No</v>
      </c>
      <c r="AB361">
        <f t="shared" si="80"/>
        <v>0</v>
      </c>
      <c r="AC361">
        <f t="shared" si="81"/>
        <v>0</v>
      </c>
      <c r="AD361" t="str">
        <f t="shared" si="82"/>
        <v>No</v>
      </c>
      <c r="AE361" t="str">
        <f t="shared" si="83"/>
        <v>No</v>
      </c>
    </row>
    <row r="362" spans="1:31" x14ac:dyDescent="0.25">
      <c r="A362" s="214"/>
      <c r="B362" s="215"/>
      <c r="C362" s="215"/>
      <c r="D362" s="216"/>
      <c r="E362" s="216"/>
      <c r="F362" s="216"/>
      <c r="G362" s="216"/>
      <c r="H362" s="218"/>
      <c r="I362" s="217"/>
      <c r="J362" s="216"/>
      <c r="K362" s="216"/>
      <c r="L362" s="216"/>
      <c r="M362" s="217"/>
      <c r="N362" s="217"/>
      <c r="O362" s="217"/>
      <c r="P362" s="213" t="str">
        <f t="shared" si="70"/>
        <v>No</v>
      </c>
      <c r="Q362" s="148" t="str">
        <f t="shared" si="71"/>
        <v>No</v>
      </c>
      <c r="R362" t="e">
        <f>VLOOKUP(F362, Property!A:B, 2,0)</f>
        <v>#N/A</v>
      </c>
      <c r="T362">
        <f t="shared" si="72"/>
        <v>0</v>
      </c>
      <c r="U362">
        <f t="shared" si="73"/>
        <v>0</v>
      </c>
      <c r="V362">
        <f t="shared" si="74"/>
        <v>0</v>
      </c>
      <c r="W362">
        <f t="shared" si="75"/>
        <v>0</v>
      </c>
      <c r="X362">
        <f t="shared" si="76"/>
        <v>0</v>
      </c>
      <c r="Y362">
        <f t="shared" si="77"/>
        <v>0</v>
      </c>
      <c r="Z362" s="150" t="str">
        <f t="shared" si="78"/>
        <v>No</v>
      </c>
      <c r="AA362" s="150" t="str">
        <f t="shared" si="79"/>
        <v>No</v>
      </c>
      <c r="AB362">
        <f t="shared" si="80"/>
        <v>0</v>
      </c>
      <c r="AC362">
        <f t="shared" si="81"/>
        <v>0</v>
      </c>
      <c r="AD362" t="str">
        <f t="shared" si="82"/>
        <v>No</v>
      </c>
      <c r="AE362" t="str">
        <f t="shared" si="83"/>
        <v>No</v>
      </c>
    </row>
    <row r="363" spans="1:31" x14ac:dyDescent="0.25">
      <c r="A363" s="214"/>
      <c r="B363" s="215"/>
      <c r="C363" s="215"/>
      <c r="D363" s="216"/>
      <c r="E363" s="216"/>
      <c r="F363" s="216"/>
      <c r="G363" s="216"/>
      <c r="H363" s="218"/>
      <c r="I363" s="217"/>
      <c r="J363" s="216"/>
      <c r="K363" s="216"/>
      <c r="L363" s="216"/>
      <c r="M363" s="217"/>
      <c r="N363" s="217"/>
      <c r="O363" s="217"/>
      <c r="P363" s="213" t="str">
        <f t="shared" si="70"/>
        <v>No</v>
      </c>
      <c r="Q363" s="148" t="str">
        <f t="shared" si="71"/>
        <v>No</v>
      </c>
      <c r="R363" t="e">
        <f>VLOOKUP(F363, Property!A:B, 2,0)</f>
        <v>#N/A</v>
      </c>
      <c r="T363">
        <f t="shared" si="72"/>
        <v>0</v>
      </c>
      <c r="U363">
        <f t="shared" si="73"/>
        <v>0</v>
      </c>
      <c r="V363">
        <f t="shared" si="74"/>
        <v>0</v>
      </c>
      <c r="W363">
        <f t="shared" si="75"/>
        <v>0</v>
      </c>
      <c r="X363">
        <f t="shared" si="76"/>
        <v>0</v>
      </c>
      <c r="Y363">
        <f t="shared" si="77"/>
        <v>0</v>
      </c>
      <c r="Z363" s="150" t="str">
        <f t="shared" si="78"/>
        <v>No</v>
      </c>
      <c r="AA363" s="150" t="str">
        <f t="shared" si="79"/>
        <v>No</v>
      </c>
      <c r="AB363">
        <f t="shared" si="80"/>
        <v>0</v>
      </c>
      <c r="AC363">
        <f t="shared" si="81"/>
        <v>0</v>
      </c>
      <c r="AD363" t="str">
        <f t="shared" si="82"/>
        <v>No</v>
      </c>
      <c r="AE363" t="str">
        <f t="shared" si="83"/>
        <v>No</v>
      </c>
    </row>
    <row r="364" spans="1:31" x14ac:dyDescent="0.25">
      <c r="A364" s="214"/>
      <c r="B364" s="215"/>
      <c r="C364" s="215"/>
      <c r="D364" s="216"/>
      <c r="E364" s="216"/>
      <c r="F364" s="216"/>
      <c r="G364" s="216"/>
      <c r="H364" s="218"/>
      <c r="I364" s="217"/>
      <c r="J364" s="216"/>
      <c r="K364" s="216"/>
      <c r="L364" s="216"/>
      <c r="M364" s="217"/>
      <c r="N364" s="217"/>
      <c r="O364" s="217"/>
      <c r="P364" s="213" t="str">
        <f t="shared" si="70"/>
        <v>No</v>
      </c>
      <c r="Q364" s="148" t="str">
        <f t="shared" si="71"/>
        <v>No</v>
      </c>
      <c r="R364" t="e">
        <f>VLOOKUP(F364, Property!A:B, 2,0)</f>
        <v>#N/A</v>
      </c>
      <c r="T364">
        <f t="shared" si="72"/>
        <v>0</v>
      </c>
      <c r="U364">
        <f t="shared" si="73"/>
        <v>0</v>
      </c>
      <c r="V364">
        <f t="shared" si="74"/>
        <v>0</v>
      </c>
      <c r="W364">
        <f t="shared" si="75"/>
        <v>0</v>
      </c>
      <c r="X364">
        <f t="shared" si="76"/>
        <v>0</v>
      </c>
      <c r="Y364">
        <f t="shared" si="77"/>
        <v>0</v>
      </c>
      <c r="Z364" s="150" t="str">
        <f t="shared" si="78"/>
        <v>No</v>
      </c>
      <c r="AA364" s="150" t="str">
        <f t="shared" si="79"/>
        <v>No</v>
      </c>
      <c r="AB364">
        <f t="shared" si="80"/>
        <v>0</v>
      </c>
      <c r="AC364">
        <f t="shared" si="81"/>
        <v>0</v>
      </c>
      <c r="AD364" t="str">
        <f t="shared" si="82"/>
        <v>No</v>
      </c>
      <c r="AE364" t="str">
        <f t="shared" si="83"/>
        <v>No</v>
      </c>
    </row>
    <row r="365" spans="1:31" x14ac:dyDescent="0.25">
      <c r="A365" s="214"/>
      <c r="B365" s="215"/>
      <c r="C365" s="215"/>
      <c r="D365" s="216"/>
      <c r="E365" s="216"/>
      <c r="F365" s="216"/>
      <c r="G365" s="216"/>
      <c r="H365" s="218"/>
      <c r="I365" s="217"/>
      <c r="J365" s="216"/>
      <c r="K365" s="216"/>
      <c r="L365" s="216"/>
      <c r="M365" s="216"/>
      <c r="N365" s="217"/>
      <c r="O365" s="217"/>
      <c r="P365" s="213" t="str">
        <f t="shared" si="70"/>
        <v>No</v>
      </c>
      <c r="Q365" s="148" t="str">
        <f t="shared" si="71"/>
        <v>No</v>
      </c>
      <c r="R365" t="e">
        <f>VLOOKUP(F365, Property!A:B, 2,0)</f>
        <v>#N/A</v>
      </c>
      <c r="T365">
        <f t="shared" si="72"/>
        <v>0</v>
      </c>
      <c r="U365">
        <f t="shared" si="73"/>
        <v>0</v>
      </c>
      <c r="V365">
        <f t="shared" si="74"/>
        <v>0</v>
      </c>
      <c r="W365">
        <f t="shared" si="75"/>
        <v>0</v>
      </c>
      <c r="X365">
        <f t="shared" si="76"/>
        <v>0</v>
      </c>
      <c r="Y365">
        <f t="shared" si="77"/>
        <v>0</v>
      </c>
      <c r="Z365" s="150" t="str">
        <f t="shared" si="78"/>
        <v>No</v>
      </c>
      <c r="AA365" s="150" t="str">
        <f t="shared" si="79"/>
        <v>No</v>
      </c>
      <c r="AB365">
        <f t="shared" si="80"/>
        <v>0</v>
      </c>
      <c r="AC365">
        <f t="shared" si="81"/>
        <v>0</v>
      </c>
      <c r="AD365" t="str">
        <f t="shared" si="82"/>
        <v>No</v>
      </c>
      <c r="AE365" t="str">
        <f t="shared" si="83"/>
        <v>No</v>
      </c>
    </row>
    <row r="366" spans="1:31" x14ac:dyDescent="0.25">
      <c r="A366" s="214"/>
      <c r="B366" s="215"/>
      <c r="C366" s="215"/>
      <c r="D366" s="216"/>
      <c r="E366" s="216"/>
      <c r="F366" s="216"/>
      <c r="G366" s="216"/>
      <c r="H366" s="218"/>
      <c r="I366" s="217"/>
      <c r="J366" s="216"/>
      <c r="K366" s="216"/>
      <c r="L366" s="216"/>
      <c r="M366" s="216"/>
      <c r="N366" s="217"/>
      <c r="O366" s="217"/>
      <c r="P366" s="213" t="str">
        <f t="shared" si="70"/>
        <v>No</v>
      </c>
      <c r="Q366" s="148" t="str">
        <f t="shared" si="71"/>
        <v>No</v>
      </c>
      <c r="R366" t="e">
        <f>VLOOKUP(F366, Property!A:B, 2,0)</f>
        <v>#N/A</v>
      </c>
      <c r="T366">
        <f t="shared" si="72"/>
        <v>0</v>
      </c>
      <c r="U366">
        <f t="shared" si="73"/>
        <v>0</v>
      </c>
      <c r="V366">
        <f t="shared" si="74"/>
        <v>0</v>
      </c>
      <c r="W366">
        <f t="shared" si="75"/>
        <v>0</v>
      </c>
      <c r="X366">
        <f t="shared" si="76"/>
        <v>0</v>
      </c>
      <c r="Y366">
        <f t="shared" si="77"/>
        <v>0</v>
      </c>
      <c r="Z366" s="150" t="str">
        <f t="shared" si="78"/>
        <v>No</v>
      </c>
      <c r="AA366" s="150" t="str">
        <f t="shared" si="79"/>
        <v>No</v>
      </c>
      <c r="AB366">
        <f t="shared" si="80"/>
        <v>0</v>
      </c>
      <c r="AC366">
        <f t="shared" si="81"/>
        <v>0</v>
      </c>
      <c r="AD366" t="str">
        <f t="shared" si="82"/>
        <v>No</v>
      </c>
      <c r="AE366" t="str">
        <f t="shared" si="83"/>
        <v>No</v>
      </c>
    </row>
    <row r="367" spans="1:31" x14ac:dyDescent="0.25">
      <c r="A367" s="214"/>
      <c r="B367" s="215"/>
      <c r="C367" s="215"/>
      <c r="D367" s="216"/>
      <c r="E367" s="216"/>
      <c r="F367" s="216"/>
      <c r="G367" s="216"/>
      <c r="H367" s="218"/>
      <c r="I367" s="217"/>
      <c r="J367" s="216"/>
      <c r="K367" s="216"/>
      <c r="L367" s="216"/>
      <c r="M367" s="217"/>
      <c r="N367" s="217"/>
      <c r="O367" s="217"/>
      <c r="P367" s="213" t="str">
        <f t="shared" si="70"/>
        <v>No</v>
      </c>
      <c r="Q367" s="148" t="str">
        <f t="shared" si="71"/>
        <v>No</v>
      </c>
      <c r="R367" t="e">
        <f>VLOOKUP(F367, Property!A:B, 2,0)</f>
        <v>#N/A</v>
      </c>
      <c r="T367">
        <f t="shared" si="72"/>
        <v>0</v>
      </c>
      <c r="U367">
        <f t="shared" si="73"/>
        <v>0</v>
      </c>
      <c r="V367">
        <f t="shared" si="74"/>
        <v>0</v>
      </c>
      <c r="W367">
        <f t="shared" si="75"/>
        <v>0</v>
      </c>
      <c r="X367">
        <f t="shared" si="76"/>
        <v>0</v>
      </c>
      <c r="Y367">
        <f t="shared" si="77"/>
        <v>0</v>
      </c>
      <c r="Z367" s="150" t="str">
        <f t="shared" si="78"/>
        <v>No</v>
      </c>
      <c r="AA367" s="150" t="str">
        <f t="shared" si="79"/>
        <v>No</v>
      </c>
      <c r="AB367">
        <f t="shared" si="80"/>
        <v>0</v>
      </c>
      <c r="AC367">
        <f t="shared" si="81"/>
        <v>0</v>
      </c>
      <c r="AD367" t="str">
        <f t="shared" si="82"/>
        <v>No</v>
      </c>
      <c r="AE367" t="str">
        <f t="shared" si="83"/>
        <v>No</v>
      </c>
    </row>
    <row r="368" spans="1:31" x14ac:dyDescent="0.25">
      <c r="A368" s="214"/>
      <c r="B368" s="215"/>
      <c r="C368" s="215"/>
      <c r="D368" s="216"/>
      <c r="E368" s="216"/>
      <c r="F368" s="216"/>
      <c r="G368" s="216"/>
      <c r="H368" s="218"/>
      <c r="I368" s="217"/>
      <c r="J368" s="216"/>
      <c r="K368" s="216"/>
      <c r="L368" s="216"/>
      <c r="M368" s="217"/>
      <c r="N368" s="217"/>
      <c r="O368" s="217"/>
      <c r="P368" s="213" t="str">
        <f t="shared" si="70"/>
        <v>No</v>
      </c>
      <c r="Q368" s="148" t="str">
        <f t="shared" si="71"/>
        <v>No</v>
      </c>
      <c r="R368" t="e">
        <f>VLOOKUP(F368, Property!A:B, 2,0)</f>
        <v>#N/A</v>
      </c>
      <c r="T368">
        <f t="shared" si="72"/>
        <v>0</v>
      </c>
      <c r="U368">
        <f t="shared" si="73"/>
        <v>0</v>
      </c>
      <c r="V368">
        <f t="shared" si="74"/>
        <v>0</v>
      </c>
      <c r="W368">
        <f t="shared" si="75"/>
        <v>0</v>
      </c>
      <c r="X368">
        <f t="shared" si="76"/>
        <v>0</v>
      </c>
      <c r="Y368">
        <f t="shared" si="77"/>
        <v>0</v>
      </c>
      <c r="Z368" s="150" t="str">
        <f t="shared" si="78"/>
        <v>No</v>
      </c>
      <c r="AA368" s="150" t="str">
        <f t="shared" si="79"/>
        <v>No</v>
      </c>
      <c r="AB368">
        <f t="shared" si="80"/>
        <v>0</v>
      </c>
      <c r="AC368">
        <f t="shared" si="81"/>
        <v>0</v>
      </c>
      <c r="AD368" t="str">
        <f t="shared" si="82"/>
        <v>No</v>
      </c>
      <c r="AE368" t="str">
        <f t="shared" si="83"/>
        <v>No</v>
      </c>
    </row>
    <row r="369" spans="1:31" x14ac:dyDescent="0.25">
      <c r="A369" s="214"/>
      <c r="B369" s="215"/>
      <c r="C369" s="215"/>
      <c r="D369" s="216"/>
      <c r="E369" s="216"/>
      <c r="F369" s="216"/>
      <c r="G369" s="216"/>
      <c r="H369" s="218"/>
      <c r="I369" s="217"/>
      <c r="J369" s="216"/>
      <c r="K369" s="216"/>
      <c r="L369" s="216"/>
      <c r="M369" s="217"/>
      <c r="N369" s="217"/>
      <c r="O369" s="217"/>
      <c r="P369" s="213" t="str">
        <f t="shared" si="70"/>
        <v>No</v>
      </c>
      <c r="Q369" s="148" t="str">
        <f t="shared" si="71"/>
        <v>No</v>
      </c>
      <c r="R369" t="e">
        <f>VLOOKUP(F369, Property!A:B, 2,0)</f>
        <v>#N/A</v>
      </c>
      <c r="T369">
        <f t="shared" si="72"/>
        <v>0</v>
      </c>
      <c r="U369">
        <f t="shared" si="73"/>
        <v>0</v>
      </c>
      <c r="V369">
        <f t="shared" si="74"/>
        <v>0</v>
      </c>
      <c r="W369">
        <f t="shared" si="75"/>
        <v>0</v>
      </c>
      <c r="X369">
        <f t="shared" si="76"/>
        <v>0</v>
      </c>
      <c r="Y369">
        <f t="shared" si="77"/>
        <v>0</v>
      </c>
      <c r="Z369" s="150" t="str">
        <f t="shared" si="78"/>
        <v>No</v>
      </c>
      <c r="AA369" s="150" t="str">
        <f t="shared" si="79"/>
        <v>No</v>
      </c>
      <c r="AB369">
        <f t="shared" si="80"/>
        <v>0</v>
      </c>
      <c r="AC369">
        <f t="shared" si="81"/>
        <v>0</v>
      </c>
      <c r="AD369" t="str">
        <f t="shared" si="82"/>
        <v>No</v>
      </c>
      <c r="AE369" t="str">
        <f t="shared" si="83"/>
        <v>No</v>
      </c>
    </row>
    <row r="370" spans="1:31" x14ac:dyDescent="0.25">
      <c r="A370" s="214"/>
      <c r="B370" s="215"/>
      <c r="C370" s="215"/>
      <c r="D370" s="216"/>
      <c r="E370" s="216"/>
      <c r="F370" s="216"/>
      <c r="G370" s="216"/>
      <c r="H370" s="218"/>
      <c r="I370" s="217"/>
      <c r="J370" s="216"/>
      <c r="K370" s="216"/>
      <c r="L370" s="216"/>
      <c r="M370" s="217"/>
      <c r="N370" s="217"/>
      <c r="O370" s="217"/>
      <c r="P370" s="213" t="str">
        <f t="shared" si="70"/>
        <v>No</v>
      </c>
      <c r="Q370" s="148" t="str">
        <f t="shared" si="71"/>
        <v>No</v>
      </c>
      <c r="R370" t="e">
        <f>VLOOKUP(F370, Property!A:B, 2,0)</f>
        <v>#N/A</v>
      </c>
      <c r="T370">
        <f t="shared" si="72"/>
        <v>0</v>
      </c>
      <c r="U370">
        <f t="shared" si="73"/>
        <v>0</v>
      </c>
      <c r="V370">
        <f t="shared" si="74"/>
        <v>0</v>
      </c>
      <c r="W370">
        <f t="shared" si="75"/>
        <v>0</v>
      </c>
      <c r="X370">
        <f t="shared" si="76"/>
        <v>0</v>
      </c>
      <c r="Y370">
        <f t="shared" si="77"/>
        <v>0</v>
      </c>
      <c r="Z370" s="150" t="str">
        <f t="shared" si="78"/>
        <v>No</v>
      </c>
      <c r="AA370" s="150" t="str">
        <f t="shared" si="79"/>
        <v>No</v>
      </c>
      <c r="AB370">
        <f t="shared" si="80"/>
        <v>0</v>
      </c>
      <c r="AC370">
        <f t="shared" si="81"/>
        <v>0</v>
      </c>
      <c r="AD370" t="str">
        <f t="shared" si="82"/>
        <v>No</v>
      </c>
      <c r="AE370" t="str">
        <f t="shared" si="83"/>
        <v>No</v>
      </c>
    </row>
  </sheetData>
  <autoFilter ref="A1:AB370"/>
  <conditionalFormatting sqref="P2">
    <cfRule type="expression" priority="2">
      <formula>$AD$2="YES"</formula>
    </cfRule>
  </conditionalFormatting>
  <conditionalFormatting sqref="AA8">
    <cfRule type="expression" priority="1">
      <formula>($AD$2="Yes")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vertEventButton">
                <anchor moveWithCells="1" sizeWithCells="1">
                  <from>
                    <xdr:col>31</xdr:col>
                    <xdr:colOff>66675</xdr:colOff>
                    <xdr:row>0</xdr:row>
                    <xdr:rowOff>47625</xdr:rowOff>
                  </from>
                  <to>
                    <xdr:col>32</xdr:col>
                    <xdr:colOff>571500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ClearEventTable">
                <anchor moveWithCells="1" sizeWithCells="1">
                  <from>
                    <xdr:col>33</xdr:col>
                    <xdr:colOff>57150</xdr:colOff>
                    <xdr:row>0</xdr:row>
                    <xdr:rowOff>47625</xdr:rowOff>
                  </from>
                  <to>
                    <xdr:col>34</xdr:col>
                    <xdr:colOff>561975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AF73"/>
  <sheetViews>
    <sheetView workbookViewId="0">
      <pane ySplit="6" topLeftCell="A7" activePane="bottomLeft" state="frozen"/>
      <selection activeCell="A4" sqref="A4:O4"/>
      <selection pane="bottomLeft" activeCell="U2" sqref="U2"/>
    </sheetView>
  </sheetViews>
  <sheetFormatPr defaultRowHeight="15" x14ac:dyDescent="0.25"/>
  <cols>
    <col min="1" max="1" width="9.7109375" bestFit="1" customWidth="1"/>
    <col min="2" max="2" width="20.7109375" customWidth="1"/>
    <col min="3" max="3" width="7.42578125" customWidth="1"/>
    <col min="4" max="4" width="11.7109375" customWidth="1"/>
    <col min="5" max="5" width="4.42578125" customWidth="1"/>
    <col min="6" max="6" width="6.42578125" customWidth="1"/>
    <col min="7" max="7" width="4.42578125" customWidth="1"/>
    <col min="8" max="8" width="6.140625" customWidth="1"/>
    <col min="9" max="9" width="4.42578125" customWidth="1"/>
    <col min="10" max="10" width="6.85546875" customWidth="1"/>
    <col min="11" max="11" width="8.5703125" style="131" customWidth="1"/>
    <col min="12" max="12" width="9.5703125" bestFit="1" customWidth="1"/>
    <col min="13" max="13" width="14.5703125" customWidth="1"/>
    <col min="14" max="14" width="16.140625" customWidth="1"/>
    <col min="15" max="15" width="11" customWidth="1"/>
    <col min="16" max="16" width="4.28515625" customWidth="1"/>
    <col min="17" max="17" width="3.42578125" customWidth="1"/>
    <col min="21" max="21" width="13.28515625" bestFit="1" customWidth="1"/>
    <col min="22" max="22" width="2.5703125" customWidth="1"/>
    <col min="26" max="27" width="9.140625" style="22"/>
    <col min="28" max="28" width="12.28515625" style="22" bestFit="1" customWidth="1"/>
    <col min="29" max="29" width="12.28515625" style="22" customWidth="1"/>
    <col min="30" max="30" width="14" style="22" bestFit="1" customWidth="1"/>
    <col min="31" max="31" width="10.85546875" style="22" bestFit="1" customWidth="1"/>
    <col min="32" max="32" width="15.7109375" style="22" bestFit="1" customWidth="1"/>
  </cols>
  <sheetData>
    <row r="1" spans="1:32" x14ac:dyDescent="0.25">
      <c r="Q1" s="158"/>
      <c r="R1" s="158"/>
      <c r="Z1" s="23" t="s">
        <v>7</v>
      </c>
      <c r="AA1" s="23"/>
    </row>
    <row r="2" spans="1:32" x14ac:dyDescent="0.25">
      <c r="A2" s="10" t="s">
        <v>0</v>
      </c>
      <c r="Q2" s="158"/>
      <c r="R2" s="158"/>
      <c r="Z2" s="22" t="s">
        <v>19</v>
      </c>
    </row>
    <row r="3" spans="1:32" ht="15.75" thickBot="1" x14ac:dyDescent="0.3">
      <c r="A3" s="21">
        <f>SUM(C7:C70)</f>
        <v>0</v>
      </c>
      <c r="Q3" s="158"/>
      <c r="R3" s="158"/>
      <c r="Z3" s="22" t="s">
        <v>20</v>
      </c>
    </row>
    <row r="4" spans="1:32" ht="15.75" thickBot="1" x14ac:dyDescent="0.3">
      <c r="A4" s="232" t="s">
        <v>1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4"/>
      <c r="Z4" s="22" t="s">
        <v>21</v>
      </c>
    </row>
    <row r="5" spans="1:32" ht="15.75" thickBot="1" x14ac:dyDescent="0.3">
      <c r="A5" s="160"/>
      <c r="B5" s="235" t="s">
        <v>2</v>
      </c>
      <c r="C5" s="236"/>
      <c r="D5" s="237"/>
      <c r="E5" s="235" t="s">
        <v>9</v>
      </c>
      <c r="F5" s="237"/>
      <c r="G5" s="235" t="s">
        <v>12</v>
      </c>
      <c r="H5" s="237"/>
      <c r="I5" s="248" t="s">
        <v>148</v>
      </c>
      <c r="J5" s="248"/>
      <c r="K5" s="238" t="s">
        <v>159</v>
      </c>
      <c r="L5" s="235" t="s">
        <v>211</v>
      </c>
      <c r="M5" s="237"/>
      <c r="N5" s="240" t="s">
        <v>10</v>
      </c>
      <c r="O5" s="240" t="s">
        <v>210</v>
      </c>
      <c r="Q5" s="242" t="s">
        <v>1</v>
      </c>
      <c r="R5" s="243"/>
      <c r="S5" s="243"/>
      <c r="T5" s="243"/>
      <c r="U5" s="243"/>
      <c r="V5" s="244"/>
      <c r="Z5" s="22" t="s">
        <v>22</v>
      </c>
    </row>
    <row r="6" spans="1:32" ht="15.75" thickBot="1" x14ac:dyDescent="0.3">
      <c r="A6" s="159" t="s">
        <v>6</v>
      </c>
      <c r="B6" s="1" t="s">
        <v>7</v>
      </c>
      <c r="C6" s="11" t="s">
        <v>15</v>
      </c>
      <c r="D6" s="1" t="s">
        <v>3</v>
      </c>
      <c r="E6" s="12" t="s">
        <v>14</v>
      </c>
      <c r="F6" s="13" t="s">
        <v>13</v>
      </c>
      <c r="G6" s="121" t="s">
        <v>14</v>
      </c>
      <c r="H6" s="122" t="s">
        <v>13</v>
      </c>
      <c r="I6" s="11" t="s">
        <v>14</v>
      </c>
      <c r="J6" s="11" t="s">
        <v>13</v>
      </c>
      <c r="K6" s="239"/>
      <c r="L6" s="8" t="s">
        <v>4</v>
      </c>
      <c r="M6" s="9" t="s">
        <v>5</v>
      </c>
      <c r="N6" s="241"/>
      <c r="O6" s="241"/>
      <c r="Q6" s="48"/>
      <c r="R6" s="49"/>
      <c r="S6" s="49"/>
      <c r="T6" s="49"/>
      <c r="U6" s="49"/>
      <c r="V6" s="50"/>
      <c r="Z6" s="22" t="s">
        <v>23</v>
      </c>
      <c r="AA6" s="95" t="s">
        <v>147</v>
      </c>
      <c r="AB6" s="96" t="s">
        <v>146</v>
      </c>
      <c r="AC6" s="99" t="s">
        <v>149</v>
      </c>
      <c r="AD6" s="99" t="s">
        <v>150</v>
      </c>
      <c r="AE6" s="96" t="s">
        <v>88</v>
      </c>
      <c r="AF6" s="97" t="s">
        <v>89</v>
      </c>
    </row>
    <row r="7" spans="1:32" x14ac:dyDescent="0.25">
      <c r="A7" s="170"/>
      <c r="B7" s="171"/>
      <c r="C7" s="172"/>
      <c r="D7" s="173">
        <f t="shared" ref="D7:D38" si="0">L7+(E7*F7)+(G7*H7)+(I7*J7)</f>
        <v>0</v>
      </c>
      <c r="E7" s="4"/>
      <c r="F7" s="5"/>
      <c r="G7" s="2"/>
      <c r="H7" s="3"/>
      <c r="I7" s="124"/>
      <c r="J7" s="127"/>
      <c r="K7" s="132"/>
      <c r="L7" s="14"/>
      <c r="M7" s="25">
        <f t="shared" ref="M7:M70" si="1">L7*C7</f>
        <v>0</v>
      </c>
      <c r="N7" s="139">
        <f t="shared" ref="N7:N70" si="2">C7*D7</f>
        <v>0</v>
      </c>
      <c r="O7" s="142"/>
      <c r="Q7" s="51"/>
      <c r="R7" s="54" t="s">
        <v>90</v>
      </c>
      <c r="S7" s="55"/>
      <c r="T7" s="63"/>
      <c r="U7" s="56">
        <f>SUM(C7:C70)</f>
        <v>0</v>
      </c>
      <c r="V7" s="37"/>
      <c r="Z7" s="22" t="s">
        <v>24</v>
      </c>
      <c r="AA7" s="101">
        <f t="shared" ref="AA7:AA70" si="3">C7*E7</f>
        <v>0</v>
      </c>
      <c r="AB7" s="40">
        <f t="shared" ref="AB7:AB70" si="4">(C7*E7)*F7</f>
        <v>0</v>
      </c>
      <c r="AC7" s="40">
        <f t="shared" ref="AC7:AC70" si="5">C7*I7</f>
        <v>0</v>
      </c>
      <c r="AD7" s="40">
        <f t="shared" ref="AD7:AD70" si="6">(C7*I7)*J7</f>
        <v>0</v>
      </c>
      <c r="AE7" s="40">
        <f>C7*G7</f>
        <v>0</v>
      </c>
      <c r="AF7" s="102">
        <f>(C7*G7)*H7</f>
        <v>0</v>
      </c>
    </row>
    <row r="8" spans="1:32" ht="15.75" thickBot="1" x14ac:dyDescent="0.3">
      <c r="A8" s="170"/>
      <c r="B8" s="174"/>
      <c r="C8" s="175"/>
      <c r="D8" s="176">
        <f t="shared" si="0"/>
        <v>0</v>
      </c>
      <c r="E8" s="4"/>
      <c r="F8" s="5"/>
      <c r="G8" s="4"/>
      <c r="H8" s="5"/>
      <c r="I8" s="124"/>
      <c r="J8" s="127"/>
      <c r="K8" s="132"/>
      <c r="L8" s="14"/>
      <c r="M8" s="25">
        <f t="shared" si="1"/>
        <v>0</v>
      </c>
      <c r="N8" s="140">
        <f t="shared" si="2"/>
        <v>0</v>
      </c>
      <c r="O8" s="143"/>
      <c r="Q8" s="51"/>
      <c r="R8" s="57" t="s">
        <v>91</v>
      </c>
      <c r="S8" s="58"/>
      <c r="T8" s="64"/>
      <c r="U8" s="59">
        <f>SUM(M7:M70)</f>
        <v>0</v>
      </c>
      <c r="V8" s="37"/>
      <c r="Z8" s="22" t="s">
        <v>25</v>
      </c>
      <c r="AA8" s="101">
        <f t="shared" si="3"/>
        <v>0</v>
      </c>
      <c r="AB8" s="40">
        <f t="shared" si="4"/>
        <v>0</v>
      </c>
      <c r="AC8" s="40">
        <f t="shared" si="5"/>
        <v>0</v>
      </c>
      <c r="AD8" s="40">
        <f t="shared" si="6"/>
        <v>0</v>
      </c>
      <c r="AE8" s="40">
        <f t="shared" ref="AE8:AE70" si="7">C8*G8</f>
        <v>0</v>
      </c>
      <c r="AF8" s="102">
        <f t="shared" ref="AF8:AF70" si="8">(C8*G8)*H8</f>
        <v>0</v>
      </c>
    </row>
    <row r="9" spans="1:32" ht="15.75" thickBot="1" x14ac:dyDescent="0.3">
      <c r="A9" s="170"/>
      <c r="B9" s="177"/>
      <c r="C9" s="175"/>
      <c r="D9" s="176">
        <f t="shared" si="0"/>
        <v>0</v>
      </c>
      <c r="E9" s="4"/>
      <c r="F9" s="5"/>
      <c r="G9" s="4"/>
      <c r="H9" s="5"/>
      <c r="I9" s="124"/>
      <c r="J9" s="127"/>
      <c r="K9" s="132"/>
      <c r="L9" s="14"/>
      <c r="M9" s="25">
        <f t="shared" si="1"/>
        <v>0</v>
      </c>
      <c r="N9" s="140">
        <f t="shared" si="2"/>
        <v>0</v>
      </c>
      <c r="O9" s="143"/>
      <c r="Q9" s="51"/>
      <c r="R9" s="52"/>
      <c r="S9" s="36"/>
      <c r="T9" s="36"/>
      <c r="U9" s="36"/>
      <c r="V9" s="37"/>
      <c r="Z9" s="22" t="s">
        <v>26</v>
      </c>
      <c r="AA9" s="101">
        <f t="shared" si="3"/>
        <v>0</v>
      </c>
      <c r="AB9" s="40">
        <f t="shared" si="4"/>
        <v>0</v>
      </c>
      <c r="AC9" s="40">
        <f t="shared" si="5"/>
        <v>0</v>
      </c>
      <c r="AD9" s="40">
        <f t="shared" si="6"/>
        <v>0</v>
      </c>
      <c r="AE9" s="40">
        <f t="shared" si="7"/>
        <v>0</v>
      </c>
      <c r="AF9" s="102">
        <f t="shared" si="8"/>
        <v>0</v>
      </c>
    </row>
    <row r="10" spans="1:32" x14ac:dyDescent="0.25">
      <c r="A10" s="170"/>
      <c r="B10" s="178"/>
      <c r="C10" s="175"/>
      <c r="D10" s="176">
        <f t="shared" si="0"/>
        <v>0</v>
      </c>
      <c r="E10" s="4"/>
      <c r="F10" s="5"/>
      <c r="G10" s="4"/>
      <c r="H10" s="5"/>
      <c r="I10" s="124"/>
      <c r="J10" s="127"/>
      <c r="K10" s="132"/>
      <c r="L10" s="14"/>
      <c r="M10" s="25">
        <f t="shared" si="1"/>
        <v>0</v>
      </c>
      <c r="N10" s="140">
        <f t="shared" si="2"/>
        <v>0</v>
      </c>
      <c r="O10" s="143"/>
      <c r="Q10" s="51"/>
      <c r="R10" s="54" t="s">
        <v>86</v>
      </c>
      <c r="S10" s="55"/>
      <c r="T10" s="63"/>
      <c r="U10" s="56">
        <f>SUM(AA:AA)</f>
        <v>0</v>
      </c>
      <c r="V10" s="37"/>
      <c r="Z10" s="22" t="s">
        <v>27</v>
      </c>
      <c r="AA10" s="101">
        <f t="shared" si="3"/>
        <v>0</v>
      </c>
      <c r="AB10" s="40">
        <f t="shared" si="4"/>
        <v>0</v>
      </c>
      <c r="AC10" s="40">
        <f t="shared" si="5"/>
        <v>0</v>
      </c>
      <c r="AD10" s="40">
        <f t="shared" si="6"/>
        <v>0</v>
      </c>
      <c r="AE10" s="40">
        <f t="shared" si="7"/>
        <v>0</v>
      </c>
      <c r="AF10" s="102">
        <f t="shared" si="8"/>
        <v>0</v>
      </c>
    </row>
    <row r="11" spans="1:32" ht="15.75" thickBot="1" x14ac:dyDescent="0.3">
      <c r="A11" s="170"/>
      <c r="B11" s="178"/>
      <c r="C11" s="175"/>
      <c r="D11" s="176">
        <f t="shared" si="0"/>
        <v>0</v>
      </c>
      <c r="E11" s="4"/>
      <c r="F11" s="5"/>
      <c r="G11" s="4"/>
      <c r="H11" s="5"/>
      <c r="I11" s="124"/>
      <c r="J11" s="127"/>
      <c r="K11" s="132"/>
      <c r="L11" s="14"/>
      <c r="M11" s="25">
        <f t="shared" si="1"/>
        <v>0</v>
      </c>
      <c r="N11" s="140">
        <f t="shared" si="2"/>
        <v>0</v>
      </c>
      <c r="O11" s="143"/>
      <c r="Q11" s="51"/>
      <c r="R11" s="57" t="s">
        <v>87</v>
      </c>
      <c r="S11" s="58"/>
      <c r="T11" s="64"/>
      <c r="U11" s="59">
        <f>SUM(AB:AB)</f>
        <v>0</v>
      </c>
      <c r="V11" s="37"/>
      <c r="Z11" s="22" t="s">
        <v>28</v>
      </c>
      <c r="AA11" s="101">
        <f t="shared" si="3"/>
        <v>0</v>
      </c>
      <c r="AB11" s="40">
        <f t="shared" si="4"/>
        <v>0</v>
      </c>
      <c r="AC11" s="40">
        <f t="shared" si="5"/>
        <v>0</v>
      </c>
      <c r="AD11" s="40">
        <f t="shared" si="6"/>
        <v>0</v>
      </c>
      <c r="AE11" s="40">
        <f t="shared" si="7"/>
        <v>0</v>
      </c>
      <c r="AF11" s="102">
        <f t="shared" si="8"/>
        <v>0</v>
      </c>
    </row>
    <row r="12" spans="1:32" ht="15.75" thickBot="1" x14ac:dyDescent="0.3">
      <c r="A12" s="170"/>
      <c r="B12" s="178"/>
      <c r="C12" s="175"/>
      <c r="D12" s="176">
        <f t="shared" si="0"/>
        <v>0</v>
      </c>
      <c r="E12" s="4"/>
      <c r="F12" s="5"/>
      <c r="G12" s="4"/>
      <c r="H12" s="5"/>
      <c r="I12" s="124"/>
      <c r="J12" s="127"/>
      <c r="K12" s="132"/>
      <c r="L12" s="14"/>
      <c r="M12" s="25">
        <f t="shared" si="1"/>
        <v>0</v>
      </c>
      <c r="N12" s="140">
        <f t="shared" si="2"/>
        <v>0</v>
      </c>
      <c r="O12" s="143"/>
      <c r="Q12" s="51"/>
      <c r="R12" s="52"/>
      <c r="S12" s="36"/>
      <c r="T12" s="36"/>
      <c r="U12" s="36"/>
      <c r="V12" s="37"/>
      <c r="Z12" s="22" t="s">
        <v>29</v>
      </c>
      <c r="AA12" s="101">
        <f t="shared" si="3"/>
        <v>0</v>
      </c>
      <c r="AB12" s="40">
        <f t="shared" si="4"/>
        <v>0</v>
      </c>
      <c r="AC12" s="40">
        <f t="shared" si="5"/>
        <v>0</v>
      </c>
      <c r="AD12" s="40">
        <f t="shared" si="6"/>
        <v>0</v>
      </c>
      <c r="AE12" s="40">
        <f t="shared" si="7"/>
        <v>0</v>
      </c>
      <c r="AF12" s="102">
        <f t="shared" si="8"/>
        <v>0</v>
      </c>
    </row>
    <row r="13" spans="1:32" x14ac:dyDescent="0.25">
      <c r="A13" s="170"/>
      <c r="B13" s="178"/>
      <c r="C13" s="175"/>
      <c r="D13" s="176">
        <f t="shared" si="0"/>
        <v>0</v>
      </c>
      <c r="E13" s="4"/>
      <c r="F13" s="5"/>
      <c r="G13" s="4"/>
      <c r="H13" s="5"/>
      <c r="I13" s="124"/>
      <c r="J13" s="127"/>
      <c r="K13" s="132"/>
      <c r="L13" s="14"/>
      <c r="M13" s="25">
        <f t="shared" si="1"/>
        <v>0</v>
      </c>
      <c r="N13" s="140">
        <f t="shared" si="2"/>
        <v>0</v>
      </c>
      <c r="O13" s="143"/>
      <c r="Q13" s="51"/>
      <c r="R13" s="54" t="s">
        <v>88</v>
      </c>
      <c r="S13" s="55"/>
      <c r="T13" s="63"/>
      <c r="U13" s="56">
        <f>SUM(AE:AE)</f>
        <v>0</v>
      </c>
      <c r="V13" s="37"/>
      <c r="Z13" s="22" t="s">
        <v>30</v>
      </c>
      <c r="AA13" s="101">
        <f t="shared" si="3"/>
        <v>0</v>
      </c>
      <c r="AB13" s="40">
        <f t="shared" si="4"/>
        <v>0</v>
      </c>
      <c r="AC13" s="40">
        <f t="shared" si="5"/>
        <v>0</v>
      </c>
      <c r="AD13" s="40">
        <f t="shared" si="6"/>
        <v>0</v>
      </c>
      <c r="AE13" s="40">
        <f t="shared" si="7"/>
        <v>0</v>
      </c>
      <c r="AF13" s="102">
        <f t="shared" si="8"/>
        <v>0</v>
      </c>
    </row>
    <row r="14" spans="1:32" ht="15.75" thickBot="1" x14ac:dyDescent="0.3">
      <c r="A14" s="170"/>
      <c r="B14" s="178"/>
      <c r="C14" s="175"/>
      <c r="D14" s="176">
        <f t="shared" si="0"/>
        <v>0</v>
      </c>
      <c r="E14" s="4"/>
      <c r="F14" s="5"/>
      <c r="G14" s="4"/>
      <c r="H14" s="5"/>
      <c r="I14" s="124"/>
      <c r="J14" s="127"/>
      <c r="K14" s="132"/>
      <c r="L14" s="14"/>
      <c r="M14" s="25">
        <f t="shared" si="1"/>
        <v>0</v>
      </c>
      <c r="N14" s="140">
        <f t="shared" si="2"/>
        <v>0</v>
      </c>
      <c r="O14" s="143"/>
      <c r="Q14" s="51"/>
      <c r="R14" s="57" t="s">
        <v>89</v>
      </c>
      <c r="S14" s="58"/>
      <c r="T14" s="64"/>
      <c r="U14" s="59">
        <f>SUM(AF:AF)</f>
        <v>0</v>
      </c>
      <c r="V14" s="37"/>
      <c r="Z14" s="22" t="s">
        <v>31</v>
      </c>
      <c r="AA14" s="101">
        <f t="shared" si="3"/>
        <v>0</v>
      </c>
      <c r="AB14" s="40">
        <f t="shared" si="4"/>
        <v>0</v>
      </c>
      <c r="AC14" s="40">
        <f t="shared" si="5"/>
        <v>0</v>
      </c>
      <c r="AD14" s="40">
        <f t="shared" si="6"/>
        <v>0</v>
      </c>
      <c r="AE14" s="40">
        <f t="shared" si="7"/>
        <v>0</v>
      </c>
      <c r="AF14" s="102">
        <f t="shared" si="8"/>
        <v>0</v>
      </c>
    </row>
    <row r="15" spans="1:32" ht="15.75" thickBot="1" x14ac:dyDescent="0.3">
      <c r="A15" s="179"/>
      <c r="B15" s="178"/>
      <c r="C15" s="175"/>
      <c r="D15" s="176">
        <f t="shared" si="0"/>
        <v>0</v>
      </c>
      <c r="E15" s="4"/>
      <c r="F15" s="5"/>
      <c r="G15" s="4"/>
      <c r="H15" s="5"/>
      <c r="I15" s="124"/>
      <c r="J15" s="127"/>
      <c r="K15" s="132"/>
      <c r="L15" s="14"/>
      <c r="M15" s="25">
        <f t="shared" si="1"/>
        <v>0</v>
      </c>
      <c r="N15" s="140">
        <f t="shared" si="2"/>
        <v>0</v>
      </c>
      <c r="O15" s="143"/>
      <c r="Q15" s="51"/>
      <c r="R15" s="52"/>
      <c r="S15" s="36"/>
      <c r="T15" s="36"/>
      <c r="U15" s="36"/>
      <c r="V15" s="37"/>
      <c r="Z15" s="22" t="s">
        <v>32</v>
      </c>
      <c r="AA15" s="101">
        <f t="shared" si="3"/>
        <v>0</v>
      </c>
      <c r="AB15" s="40">
        <f t="shared" si="4"/>
        <v>0</v>
      </c>
      <c r="AC15" s="40">
        <f t="shared" si="5"/>
        <v>0</v>
      </c>
      <c r="AD15" s="40">
        <f t="shared" si="6"/>
        <v>0</v>
      </c>
      <c r="AE15" s="40">
        <f t="shared" si="7"/>
        <v>0</v>
      </c>
      <c r="AF15" s="102">
        <f t="shared" si="8"/>
        <v>0</v>
      </c>
    </row>
    <row r="16" spans="1:32" x14ac:dyDescent="0.25">
      <c r="A16" s="179"/>
      <c r="B16" s="178"/>
      <c r="C16" s="175"/>
      <c r="D16" s="180">
        <f t="shared" si="0"/>
        <v>0</v>
      </c>
      <c r="E16" s="4"/>
      <c r="F16" s="5"/>
      <c r="G16" s="4"/>
      <c r="H16" s="5"/>
      <c r="I16" s="124"/>
      <c r="J16" s="127"/>
      <c r="K16" s="132"/>
      <c r="L16" s="14"/>
      <c r="M16" s="25">
        <f t="shared" si="1"/>
        <v>0</v>
      </c>
      <c r="N16" s="140">
        <f t="shared" si="2"/>
        <v>0</v>
      </c>
      <c r="O16" s="143"/>
      <c r="Q16" s="51"/>
      <c r="R16" s="54" t="str">
        <f>I5 &amp; " pax"</f>
        <v>Eiffel Tower pax</v>
      </c>
      <c r="S16" s="55"/>
      <c r="T16" s="63"/>
      <c r="U16" s="56">
        <f>SUM(AC:AC)</f>
        <v>0</v>
      </c>
      <c r="V16" s="37"/>
      <c r="Z16" s="22" t="s">
        <v>33</v>
      </c>
      <c r="AA16" s="101">
        <f t="shared" si="3"/>
        <v>0</v>
      </c>
      <c r="AB16" s="40">
        <f t="shared" si="4"/>
        <v>0</v>
      </c>
      <c r="AC16" s="40">
        <f t="shared" si="5"/>
        <v>0</v>
      </c>
      <c r="AD16" s="40">
        <f t="shared" si="6"/>
        <v>0</v>
      </c>
      <c r="AE16" s="40">
        <f t="shared" si="7"/>
        <v>0</v>
      </c>
      <c r="AF16" s="102">
        <f t="shared" si="8"/>
        <v>0</v>
      </c>
    </row>
    <row r="17" spans="1:32" x14ac:dyDescent="0.25">
      <c r="A17" s="179"/>
      <c r="B17" s="178"/>
      <c r="C17" s="175"/>
      <c r="D17" s="180">
        <f t="shared" si="0"/>
        <v>0</v>
      </c>
      <c r="E17" s="4"/>
      <c r="F17" s="5"/>
      <c r="G17" s="4"/>
      <c r="H17" s="5"/>
      <c r="I17" s="124"/>
      <c r="J17" s="127"/>
      <c r="K17" s="132"/>
      <c r="L17" s="14"/>
      <c r="M17" s="25">
        <f t="shared" si="1"/>
        <v>0</v>
      </c>
      <c r="N17" s="140">
        <f t="shared" si="2"/>
        <v>0</v>
      </c>
      <c r="O17" s="143"/>
      <c r="Q17" s="51"/>
      <c r="R17" s="60" t="str">
        <f>I5 &amp; " Revenue"</f>
        <v>Eiffel Tower Revenue</v>
      </c>
      <c r="S17" s="61"/>
      <c r="T17" s="65"/>
      <c r="U17" s="62">
        <f>SUM(AD:AD)</f>
        <v>0</v>
      </c>
      <c r="V17" s="37"/>
      <c r="Z17" s="22" t="s">
        <v>34</v>
      </c>
      <c r="AA17" s="101">
        <f t="shared" si="3"/>
        <v>0</v>
      </c>
      <c r="AB17" s="40">
        <f t="shared" si="4"/>
        <v>0</v>
      </c>
      <c r="AC17" s="40">
        <f t="shared" si="5"/>
        <v>0</v>
      </c>
      <c r="AD17" s="40">
        <f t="shared" si="6"/>
        <v>0</v>
      </c>
      <c r="AE17" s="40">
        <f t="shared" si="7"/>
        <v>0</v>
      </c>
      <c r="AF17" s="102">
        <f t="shared" si="8"/>
        <v>0</v>
      </c>
    </row>
    <row r="18" spans="1:32" ht="15.75" thickBot="1" x14ac:dyDescent="0.3">
      <c r="A18" s="179"/>
      <c r="B18" s="178"/>
      <c r="C18" s="175"/>
      <c r="D18" s="180">
        <f t="shared" si="0"/>
        <v>0</v>
      </c>
      <c r="E18" s="4"/>
      <c r="F18" s="5"/>
      <c r="G18" s="4"/>
      <c r="H18" s="5"/>
      <c r="I18" s="124"/>
      <c r="J18" s="127"/>
      <c r="K18" s="132"/>
      <c r="L18" s="14"/>
      <c r="M18" s="25">
        <f t="shared" si="1"/>
        <v>0</v>
      </c>
      <c r="N18" s="140">
        <f t="shared" si="2"/>
        <v>0</v>
      </c>
      <c r="O18" s="143"/>
      <c r="Q18" s="51"/>
      <c r="R18" s="52"/>
      <c r="S18" s="36"/>
      <c r="T18" s="36"/>
      <c r="U18" s="36"/>
      <c r="V18" s="37"/>
      <c r="Z18" s="22" t="s">
        <v>35</v>
      </c>
      <c r="AA18" s="101">
        <f t="shared" si="3"/>
        <v>0</v>
      </c>
      <c r="AB18" s="40">
        <f t="shared" si="4"/>
        <v>0</v>
      </c>
      <c r="AC18" s="40">
        <f t="shared" si="5"/>
        <v>0</v>
      </c>
      <c r="AD18" s="40">
        <f t="shared" si="6"/>
        <v>0</v>
      </c>
      <c r="AE18" s="40">
        <f t="shared" si="7"/>
        <v>0</v>
      </c>
      <c r="AF18" s="102">
        <f t="shared" si="8"/>
        <v>0</v>
      </c>
    </row>
    <row r="19" spans="1:32" x14ac:dyDescent="0.25">
      <c r="A19" s="179"/>
      <c r="B19" s="178"/>
      <c r="C19" s="175"/>
      <c r="D19" s="180">
        <f t="shared" si="0"/>
        <v>0</v>
      </c>
      <c r="E19" s="4"/>
      <c r="F19" s="5"/>
      <c r="G19" s="4"/>
      <c r="H19" s="5"/>
      <c r="I19" s="124"/>
      <c r="J19" s="127"/>
      <c r="K19" s="132"/>
      <c r="L19" s="14"/>
      <c r="M19" s="25">
        <f t="shared" si="1"/>
        <v>0</v>
      </c>
      <c r="N19" s="140">
        <f t="shared" si="2"/>
        <v>0</v>
      </c>
      <c r="O19" s="143"/>
      <c r="Q19" s="51"/>
      <c r="R19" s="54" t="s">
        <v>85</v>
      </c>
      <c r="S19" s="55"/>
      <c r="T19" s="63"/>
      <c r="U19" s="56">
        <f>SUM(C7:C70)</f>
        <v>0</v>
      </c>
      <c r="V19" s="37"/>
      <c r="Z19" s="22" t="s">
        <v>36</v>
      </c>
      <c r="AA19" s="101">
        <f t="shared" si="3"/>
        <v>0</v>
      </c>
      <c r="AB19" s="40">
        <f t="shared" si="4"/>
        <v>0</v>
      </c>
      <c r="AC19" s="40">
        <f t="shared" si="5"/>
        <v>0</v>
      </c>
      <c r="AD19" s="40">
        <f t="shared" si="6"/>
        <v>0</v>
      </c>
      <c r="AE19" s="40">
        <f t="shared" si="7"/>
        <v>0</v>
      </c>
      <c r="AF19" s="102">
        <f t="shared" si="8"/>
        <v>0</v>
      </c>
    </row>
    <row r="20" spans="1:32" x14ac:dyDescent="0.25">
      <c r="A20" s="179"/>
      <c r="B20" s="178"/>
      <c r="C20" s="175"/>
      <c r="D20" s="180">
        <f t="shared" si="0"/>
        <v>0</v>
      </c>
      <c r="E20" s="4"/>
      <c r="F20" s="5"/>
      <c r="G20" s="4"/>
      <c r="H20" s="5"/>
      <c r="I20" s="124"/>
      <c r="J20" s="127"/>
      <c r="K20" s="132"/>
      <c r="L20" s="14"/>
      <c r="M20" s="25">
        <f t="shared" si="1"/>
        <v>0</v>
      </c>
      <c r="N20" s="140">
        <f t="shared" si="2"/>
        <v>0</v>
      </c>
      <c r="O20" s="143"/>
      <c r="Q20" s="135"/>
      <c r="R20" s="60" t="s">
        <v>84</v>
      </c>
      <c r="S20" s="61"/>
      <c r="T20" s="65"/>
      <c r="U20" s="62">
        <f>SUM(N7:N70)</f>
        <v>0</v>
      </c>
      <c r="V20" s="135"/>
      <c r="Z20" s="22" t="s">
        <v>37</v>
      </c>
      <c r="AA20" s="101">
        <f t="shared" si="3"/>
        <v>0</v>
      </c>
      <c r="AB20" s="40">
        <f t="shared" si="4"/>
        <v>0</v>
      </c>
      <c r="AC20" s="40">
        <f t="shared" si="5"/>
        <v>0</v>
      </c>
      <c r="AD20" s="40">
        <f t="shared" si="6"/>
        <v>0</v>
      </c>
      <c r="AE20" s="40">
        <f t="shared" si="7"/>
        <v>0</v>
      </c>
      <c r="AF20" s="102">
        <f t="shared" si="8"/>
        <v>0</v>
      </c>
    </row>
    <row r="21" spans="1:32" ht="15.75" thickBot="1" x14ac:dyDescent="0.3">
      <c r="A21" s="179"/>
      <c r="B21" s="178"/>
      <c r="C21" s="175"/>
      <c r="D21" s="180">
        <f t="shared" si="0"/>
        <v>0</v>
      </c>
      <c r="E21" s="4"/>
      <c r="F21" s="5"/>
      <c r="G21" s="4"/>
      <c r="H21" s="5"/>
      <c r="I21" s="124"/>
      <c r="J21" s="127"/>
      <c r="K21" s="132"/>
      <c r="L21" s="14"/>
      <c r="M21" s="25">
        <f t="shared" si="1"/>
        <v>0</v>
      </c>
      <c r="N21" s="140">
        <f t="shared" si="2"/>
        <v>0</v>
      </c>
      <c r="O21" s="143"/>
      <c r="Q21" s="51"/>
      <c r="R21" s="57" t="s">
        <v>92</v>
      </c>
      <c r="S21" s="58"/>
      <c r="T21" s="64"/>
      <c r="U21" s="59">
        <f>U20*1.15</f>
        <v>0</v>
      </c>
      <c r="V21" s="37"/>
      <c r="AA21" s="101">
        <f t="shared" si="3"/>
        <v>0</v>
      </c>
      <c r="AB21" s="40">
        <f t="shared" si="4"/>
        <v>0</v>
      </c>
      <c r="AC21" s="40">
        <f t="shared" si="5"/>
        <v>0</v>
      </c>
      <c r="AD21" s="40">
        <f t="shared" si="6"/>
        <v>0</v>
      </c>
      <c r="AE21" s="40">
        <f t="shared" si="7"/>
        <v>0</v>
      </c>
      <c r="AF21" s="102">
        <f t="shared" si="8"/>
        <v>0</v>
      </c>
    </row>
    <row r="22" spans="1:32" ht="15.75" thickBot="1" x14ac:dyDescent="0.3">
      <c r="A22" s="179"/>
      <c r="B22" s="178"/>
      <c r="C22" s="175"/>
      <c r="D22" s="180">
        <f t="shared" si="0"/>
        <v>0</v>
      </c>
      <c r="E22" s="4"/>
      <c r="F22" s="5"/>
      <c r="G22" s="4"/>
      <c r="H22" s="5"/>
      <c r="I22" s="124"/>
      <c r="J22" s="127"/>
      <c r="K22" s="132"/>
      <c r="L22" s="14"/>
      <c r="M22" s="25">
        <f t="shared" si="1"/>
        <v>0</v>
      </c>
      <c r="N22" s="140">
        <f t="shared" si="2"/>
        <v>0</v>
      </c>
      <c r="O22" s="143"/>
      <c r="Q22" s="53"/>
      <c r="R22" s="38"/>
      <c r="S22" s="38"/>
      <c r="T22" s="38"/>
      <c r="U22" s="38"/>
      <c r="V22" s="39"/>
      <c r="AA22" s="101">
        <f t="shared" si="3"/>
        <v>0</v>
      </c>
      <c r="AB22" s="40">
        <f t="shared" si="4"/>
        <v>0</v>
      </c>
      <c r="AC22" s="40">
        <f t="shared" si="5"/>
        <v>0</v>
      </c>
      <c r="AD22" s="40">
        <f t="shared" si="6"/>
        <v>0</v>
      </c>
      <c r="AE22" s="40">
        <f t="shared" si="7"/>
        <v>0</v>
      </c>
      <c r="AF22" s="102">
        <f t="shared" si="8"/>
        <v>0</v>
      </c>
    </row>
    <row r="23" spans="1:32" x14ac:dyDescent="0.25">
      <c r="A23" s="179"/>
      <c r="B23" s="178"/>
      <c r="C23" s="175"/>
      <c r="D23" s="180">
        <f t="shared" si="0"/>
        <v>0</v>
      </c>
      <c r="E23" s="4"/>
      <c r="F23" s="5"/>
      <c r="G23" s="4"/>
      <c r="H23" s="5"/>
      <c r="I23" s="124"/>
      <c r="J23" s="127"/>
      <c r="K23" s="132"/>
      <c r="L23" s="14"/>
      <c r="M23" s="25">
        <f t="shared" si="1"/>
        <v>0</v>
      </c>
      <c r="N23" s="140">
        <f t="shared" si="2"/>
        <v>0</v>
      </c>
      <c r="O23" s="143"/>
      <c r="AA23" s="101">
        <f t="shared" si="3"/>
        <v>0</v>
      </c>
      <c r="AB23" s="40">
        <f t="shared" si="4"/>
        <v>0</v>
      </c>
      <c r="AC23" s="40">
        <f t="shared" si="5"/>
        <v>0</v>
      </c>
      <c r="AD23" s="40">
        <f t="shared" si="6"/>
        <v>0</v>
      </c>
      <c r="AE23" s="40">
        <f t="shared" si="7"/>
        <v>0</v>
      </c>
      <c r="AF23" s="102">
        <f t="shared" si="8"/>
        <v>0</v>
      </c>
    </row>
    <row r="24" spans="1:32" x14ac:dyDescent="0.25">
      <c r="A24" s="179"/>
      <c r="B24" s="178"/>
      <c r="C24" s="175"/>
      <c r="D24" s="176">
        <f t="shared" si="0"/>
        <v>0</v>
      </c>
      <c r="E24" s="4"/>
      <c r="F24" s="5"/>
      <c r="G24" s="4"/>
      <c r="H24" s="5"/>
      <c r="I24" s="124"/>
      <c r="J24" s="127"/>
      <c r="K24" s="132"/>
      <c r="L24" s="14"/>
      <c r="M24" s="25">
        <f t="shared" si="1"/>
        <v>0</v>
      </c>
      <c r="N24" s="140">
        <f t="shared" si="2"/>
        <v>0</v>
      </c>
      <c r="O24" s="143"/>
      <c r="AA24" s="101">
        <f t="shared" si="3"/>
        <v>0</v>
      </c>
      <c r="AB24" s="40">
        <f t="shared" si="4"/>
        <v>0</v>
      </c>
      <c r="AC24" s="40">
        <f t="shared" si="5"/>
        <v>0</v>
      </c>
      <c r="AD24" s="40">
        <f t="shared" si="6"/>
        <v>0</v>
      </c>
      <c r="AE24" s="40">
        <f t="shared" si="7"/>
        <v>0</v>
      </c>
      <c r="AF24" s="102">
        <f t="shared" si="8"/>
        <v>0</v>
      </c>
    </row>
    <row r="25" spans="1:32" x14ac:dyDescent="0.25">
      <c r="A25" s="179"/>
      <c r="B25" s="178"/>
      <c r="C25" s="175"/>
      <c r="D25" s="180">
        <f t="shared" si="0"/>
        <v>0</v>
      </c>
      <c r="E25" s="4"/>
      <c r="F25" s="5"/>
      <c r="G25" s="4"/>
      <c r="H25" s="5"/>
      <c r="I25" s="124"/>
      <c r="J25" s="127"/>
      <c r="K25" s="132"/>
      <c r="L25" s="14"/>
      <c r="M25" s="25">
        <f t="shared" si="1"/>
        <v>0</v>
      </c>
      <c r="N25" s="140">
        <f t="shared" si="2"/>
        <v>0</v>
      </c>
      <c r="O25" s="143"/>
      <c r="AA25" s="101">
        <f t="shared" si="3"/>
        <v>0</v>
      </c>
      <c r="AB25" s="40">
        <f t="shared" si="4"/>
        <v>0</v>
      </c>
      <c r="AC25" s="40">
        <f t="shared" si="5"/>
        <v>0</v>
      </c>
      <c r="AD25" s="40">
        <f t="shared" si="6"/>
        <v>0</v>
      </c>
      <c r="AE25" s="40">
        <f t="shared" si="7"/>
        <v>0</v>
      </c>
      <c r="AF25" s="102">
        <f t="shared" si="8"/>
        <v>0</v>
      </c>
    </row>
    <row r="26" spans="1:32" x14ac:dyDescent="0.25">
      <c r="A26" s="179"/>
      <c r="B26" s="178"/>
      <c r="C26" s="175"/>
      <c r="D26" s="180">
        <f t="shared" si="0"/>
        <v>0</v>
      </c>
      <c r="E26" s="4"/>
      <c r="F26" s="5"/>
      <c r="G26" s="4"/>
      <c r="H26" s="5"/>
      <c r="I26" s="124"/>
      <c r="J26" s="127"/>
      <c r="K26" s="132"/>
      <c r="L26" s="14"/>
      <c r="M26" s="25">
        <f t="shared" si="1"/>
        <v>0</v>
      </c>
      <c r="N26" s="140">
        <f t="shared" si="2"/>
        <v>0</v>
      </c>
      <c r="O26" s="143"/>
      <c r="AA26" s="101">
        <f t="shared" si="3"/>
        <v>0</v>
      </c>
      <c r="AB26" s="40">
        <f t="shared" si="4"/>
        <v>0</v>
      </c>
      <c r="AC26" s="40">
        <f t="shared" si="5"/>
        <v>0</v>
      </c>
      <c r="AD26" s="40">
        <f t="shared" si="6"/>
        <v>0</v>
      </c>
      <c r="AE26" s="40">
        <f t="shared" si="7"/>
        <v>0</v>
      </c>
      <c r="AF26" s="102">
        <f t="shared" si="8"/>
        <v>0</v>
      </c>
    </row>
    <row r="27" spans="1:32" x14ac:dyDescent="0.25">
      <c r="A27" s="179"/>
      <c r="B27" s="178"/>
      <c r="C27" s="175"/>
      <c r="D27" s="180">
        <f t="shared" si="0"/>
        <v>0</v>
      </c>
      <c r="E27" s="4"/>
      <c r="F27" s="5"/>
      <c r="G27" s="4"/>
      <c r="H27" s="5"/>
      <c r="I27" s="124"/>
      <c r="J27" s="127"/>
      <c r="K27" s="132"/>
      <c r="L27" s="14"/>
      <c r="M27" s="25">
        <f t="shared" si="1"/>
        <v>0</v>
      </c>
      <c r="N27" s="140">
        <f t="shared" si="2"/>
        <v>0</v>
      </c>
      <c r="O27" s="143"/>
      <c r="AA27" s="101">
        <f t="shared" si="3"/>
        <v>0</v>
      </c>
      <c r="AB27" s="40">
        <f t="shared" si="4"/>
        <v>0</v>
      </c>
      <c r="AC27" s="40">
        <f t="shared" si="5"/>
        <v>0</v>
      </c>
      <c r="AD27" s="40">
        <f t="shared" si="6"/>
        <v>0</v>
      </c>
      <c r="AE27" s="40">
        <f t="shared" si="7"/>
        <v>0</v>
      </c>
      <c r="AF27" s="102">
        <f t="shared" si="8"/>
        <v>0</v>
      </c>
    </row>
    <row r="28" spans="1:32" x14ac:dyDescent="0.25">
      <c r="A28" s="179"/>
      <c r="B28" s="178"/>
      <c r="C28" s="175"/>
      <c r="D28" s="180">
        <f t="shared" si="0"/>
        <v>0</v>
      </c>
      <c r="E28" s="4"/>
      <c r="F28" s="5"/>
      <c r="G28" s="4"/>
      <c r="H28" s="5"/>
      <c r="I28" s="124"/>
      <c r="J28" s="127"/>
      <c r="K28" s="132"/>
      <c r="L28" s="14"/>
      <c r="M28" s="25">
        <f t="shared" si="1"/>
        <v>0</v>
      </c>
      <c r="N28" s="140">
        <f t="shared" si="2"/>
        <v>0</v>
      </c>
      <c r="O28" s="143"/>
      <c r="AA28" s="101">
        <f t="shared" si="3"/>
        <v>0</v>
      </c>
      <c r="AB28" s="40">
        <f t="shared" si="4"/>
        <v>0</v>
      </c>
      <c r="AC28" s="40">
        <f t="shared" si="5"/>
        <v>0</v>
      </c>
      <c r="AD28" s="40">
        <f t="shared" si="6"/>
        <v>0</v>
      </c>
      <c r="AE28" s="40">
        <f t="shared" si="7"/>
        <v>0</v>
      </c>
      <c r="AF28" s="102">
        <f t="shared" si="8"/>
        <v>0</v>
      </c>
    </row>
    <row r="29" spans="1:32" x14ac:dyDescent="0.25">
      <c r="A29" s="179"/>
      <c r="B29" s="178"/>
      <c r="C29" s="175"/>
      <c r="D29" s="180">
        <f t="shared" si="0"/>
        <v>0</v>
      </c>
      <c r="E29" s="4"/>
      <c r="F29" s="5"/>
      <c r="G29" s="4"/>
      <c r="H29" s="5"/>
      <c r="I29" s="124"/>
      <c r="J29" s="127"/>
      <c r="K29" s="132"/>
      <c r="L29" s="14"/>
      <c r="M29" s="25">
        <f t="shared" si="1"/>
        <v>0</v>
      </c>
      <c r="N29" s="140">
        <f t="shared" si="2"/>
        <v>0</v>
      </c>
      <c r="O29" s="143"/>
      <c r="AA29" s="101">
        <f t="shared" si="3"/>
        <v>0</v>
      </c>
      <c r="AB29" s="40">
        <f t="shared" si="4"/>
        <v>0</v>
      </c>
      <c r="AC29" s="40">
        <f t="shared" si="5"/>
        <v>0</v>
      </c>
      <c r="AD29" s="40">
        <f t="shared" si="6"/>
        <v>0</v>
      </c>
      <c r="AE29" s="40">
        <f t="shared" si="7"/>
        <v>0</v>
      </c>
      <c r="AF29" s="102">
        <f t="shared" si="8"/>
        <v>0</v>
      </c>
    </row>
    <row r="30" spans="1:32" x14ac:dyDescent="0.25">
      <c r="A30" s="179"/>
      <c r="B30" s="178"/>
      <c r="C30" s="175"/>
      <c r="D30" s="180">
        <f t="shared" si="0"/>
        <v>0</v>
      </c>
      <c r="E30" s="4"/>
      <c r="F30" s="5"/>
      <c r="G30" s="4"/>
      <c r="H30" s="5"/>
      <c r="I30" s="124"/>
      <c r="J30" s="127"/>
      <c r="K30" s="132"/>
      <c r="L30" s="14"/>
      <c r="M30" s="25">
        <f t="shared" si="1"/>
        <v>0</v>
      </c>
      <c r="N30" s="140">
        <f t="shared" si="2"/>
        <v>0</v>
      </c>
      <c r="O30" s="143"/>
      <c r="AA30" s="101">
        <f t="shared" si="3"/>
        <v>0</v>
      </c>
      <c r="AB30" s="40">
        <f t="shared" si="4"/>
        <v>0</v>
      </c>
      <c r="AC30" s="40">
        <f t="shared" si="5"/>
        <v>0</v>
      </c>
      <c r="AD30" s="40">
        <f t="shared" si="6"/>
        <v>0</v>
      </c>
      <c r="AE30" s="40">
        <f t="shared" si="7"/>
        <v>0</v>
      </c>
      <c r="AF30" s="102">
        <f t="shared" si="8"/>
        <v>0</v>
      </c>
    </row>
    <row r="31" spans="1:32" x14ac:dyDescent="0.25">
      <c r="A31" s="179"/>
      <c r="B31" s="178"/>
      <c r="C31" s="175"/>
      <c r="D31" s="180">
        <f t="shared" si="0"/>
        <v>0</v>
      </c>
      <c r="E31" s="4"/>
      <c r="F31" s="5"/>
      <c r="G31" s="4"/>
      <c r="H31" s="5"/>
      <c r="I31" s="124"/>
      <c r="J31" s="127"/>
      <c r="K31" s="132"/>
      <c r="L31" s="14"/>
      <c r="M31" s="25">
        <f t="shared" si="1"/>
        <v>0</v>
      </c>
      <c r="N31" s="140">
        <f t="shared" si="2"/>
        <v>0</v>
      </c>
      <c r="O31" s="143"/>
      <c r="AA31" s="101">
        <f t="shared" si="3"/>
        <v>0</v>
      </c>
      <c r="AB31" s="40">
        <f t="shared" si="4"/>
        <v>0</v>
      </c>
      <c r="AC31" s="40">
        <f t="shared" si="5"/>
        <v>0</v>
      </c>
      <c r="AD31" s="40">
        <f t="shared" si="6"/>
        <v>0</v>
      </c>
      <c r="AE31" s="40">
        <f t="shared" si="7"/>
        <v>0</v>
      </c>
      <c r="AF31" s="102">
        <f t="shared" si="8"/>
        <v>0</v>
      </c>
    </row>
    <row r="32" spans="1:32" x14ac:dyDescent="0.25">
      <c r="A32" s="179"/>
      <c r="B32" s="178"/>
      <c r="C32" s="175"/>
      <c r="D32" s="180">
        <f t="shared" si="0"/>
        <v>0</v>
      </c>
      <c r="E32" s="4"/>
      <c r="F32" s="5"/>
      <c r="G32" s="4"/>
      <c r="H32" s="5"/>
      <c r="I32" s="124"/>
      <c r="J32" s="127"/>
      <c r="K32" s="132"/>
      <c r="L32" s="14"/>
      <c r="M32" s="25">
        <f t="shared" si="1"/>
        <v>0</v>
      </c>
      <c r="N32" s="140">
        <f t="shared" si="2"/>
        <v>0</v>
      </c>
      <c r="O32" s="143"/>
      <c r="AA32" s="101">
        <f t="shared" si="3"/>
        <v>0</v>
      </c>
      <c r="AB32" s="40">
        <f t="shared" si="4"/>
        <v>0</v>
      </c>
      <c r="AC32" s="40">
        <f t="shared" si="5"/>
        <v>0</v>
      </c>
      <c r="AD32" s="40">
        <f t="shared" si="6"/>
        <v>0</v>
      </c>
      <c r="AE32" s="40">
        <f t="shared" si="7"/>
        <v>0</v>
      </c>
      <c r="AF32" s="102">
        <f t="shared" si="8"/>
        <v>0</v>
      </c>
    </row>
    <row r="33" spans="1:32" x14ac:dyDescent="0.25">
      <c r="A33" s="179"/>
      <c r="B33" s="178"/>
      <c r="C33" s="175"/>
      <c r="D33" s="180">
        <f t="shared" si="0"/>
        <v>0</v>
      </c>
      <c r="E33" s="4"/>
      <c r="F33" s="5"/>
      <c r="G33" s="4"/>
      <c r="H33" s="5"/>
      <c r="I33" s="124"/>
      <c r="J33" s="127"/>
      <c r="K33" s="132"/>
      <c r="L33" s="14"/>
      <c r="M33" s="25">
        <f t="shared" si="1"/>
        <v>0</v>
      </c>
      <c r="N33" s="140">
        <f t="shared" si="2"/>
        <v>0</v>
      </c>
      <c r="O33" s="143"/>
      <c r="AA33" s="101">
        <f t="shared" si="3"/>
        <v>0</v>
      </c>
      <c r="AB33" s="40">
        <f t="shared" si="4"/>
        <v>0</v>
      </c>
      <c r="AC33" s="40">
        <f t="shared" si="5"/>
        <v>0</v>
      </c>
      <c r="AD33" s="40">
        <f t="shared" si="6"/>
        <v>0</v>
      </c>
      <c r="AE33" s="40">
        <f t="shared" si="7"/>
        <v>0</v>
      </c>
      <c r="AF33" s="102">
        <f t="shared" si="8"/>
        <v>0</v>
      </c>
    </row>
    <row r="34" spans="1:32" x14ac:dyDescent="0.25">
      <c r="A34" s="179"/>
      <c r="B34" s="178"/>
      <c r="C34" s="175"/>
      <c r="D34" s="180">
        <f t="shared" si="0"/>
        <v>0</v>
      </c>
      <c r="E34" s="4"/>
      <c r="F34" s="5"/>
      <c r="G34" s="4"/>
      <c r="H34" s="5"/>
      <c r="I34" s="124"/>
      <c r="J34" s="127"/>
      <c r="K34" s="132"/>
      <c r="L34" s="14"/>
      <c r="M34" s="25">
        <f t="shared" si="1"/>
        <v>0</v>
      </c>
      <c r="N34" s="140">
        <f t="shared" si="2"/>
        <v>0</v>
      </c>
      <c r="O34" s="143"/>
      <c r="AA34" s="101">
        <f t="shared" si="3"/>
        <v>0</v>
      </c>
      <c r="AB34" s="40">
        <f t="shared" si="4"/>
        <v>0</v>
      </c>
      <c r="AC34" s="40">
        <f t="shared" si="5"/>
        <v>0</v>
      </c>
      <c r="AD34" s="40">
        <f t="shared" si="6"/>
        <v>0</v>
      </c>
      <c r="AE34" s="40">
        <f t="shared" si="7"/>
        <v>0</v>
      </c>
      <c r="AF34" s="102">
        <f t="shared" si="8"/>
        <v>0</v>
      </c>
    </row>
    <row r="35" spans="1:32" x14ac:dyDescent="0.25">
      <c r="A35" s="179"/>
      <c r="B35" s="178"/>
      <c r="C35" s="175"/>
      <c r="D35" s="180">
        <f t="shared" si="0"/>
        <v>0</v>
      </c>
      <c r="E35" s="4"/>
      <c r="F35" s="5"/>
      <c r="G35" s="4"/>
      <c r="H35" s="5"/>
      <c r="I35" s="124"/>
      <c r="J35" s="127"/>
      <c r="K35" s="132"/>
      <c r="L35" s="14"/>
      <c r="M35" s="25">
        <f t="shared" si="1"/>
        <v>0</v>
      </c>
      <c r="N35" s="140">
        <f t="shared" si="2"/>
        <v>0</v>
      </c>
      <c r="O35" s="143"/>
      <c r="AA35" s="101">
        <f t="shared" si="3"/>
        <v>0</v>
      </c>
      <c r="AB35" s="40">
        <f t="shared" si="4"/>
        <v>0</v>
      </c>
      <c r="AC35" s="40">
        <f t="shared" si="5"/>
        <v>0</v>
      </c>
      <c r="AD35" s="40">
        <f t="shared" si="6"/>
        <v>0</v>
      </c>
      <c r="AE35" s="40">
        <f t="shared" si="7"/>
        <v>0</v>
      </c>
      <c r="AF35" s="102">
        <f t="shared" si="8"/>
        <v>0</v>
      </c>
    </row>
    <row r="36" spans="1:32" x14ac:dyDescent="0.25">
      <c r="A36" s="179"/>
      <c r="B36" s="178"/>
      <c r="C36" s="175"/>
      <c r="D36" s="176">
        <f t="shared" si="0"/>
        <v>0</v>
      </c>
      <c r="E36" s="4"/>
      <c r="F36" s="5"/>
      <c r="G36" s="4"/>
      <c r="H36" s="5"/>
      <c r="I36" s="124"/>
      <c r="J36" s="127"/>
      <c r="K36" s="132"/>
      <c r="L36" s="14"/>
      <c r="M36" s="25">
        <f t="shared" si="1"/>
        <v>0</v>
      </c>
      <c r="N36" s="140">
        <f t="shared" si="2"/>
        <v>0</v>
      </c>
      <c r="O36" s="143"/>
      <c r="AA36" s="101">
        <f t="shared" si="3"/>
        <v>0</v>
      </c>
      <c r="AB36" s="40">
        <f t="shared" si="4"/>
        <v>0</v>
      </c>
      <c r="AC36" s="40">
        <f t="shared" si="5"/>
        <v>0</v>
      </c>
      <c r="AD36" s="40">
        <f t="shared" si="6"/>
        <v>0</v>
      </c>
      <c r="AE36" s="40">
        <f t="shared" si="7"/>
        <v>0</v>
      </c>
      <c r="AF36" s="102">
        <f t="shared" si="8"/>
        <v>0</v>
      </c>
    </row>
    <row r="37" spans="1:32" x14ac:dyDescent="0.25">
      <c r="A37" s="181"/>
      <c r="B37" s="178"/>
      <c r="C37" s="175"/>
      <c r="D37" s="180">
        <f t="shared" si="0"/>
        <v>0</v>
      </c>
      <c r="E37" s="4"/>
      <c r="F37" s="5"/>
      <c r="G37" s="4"/>
      <c r="H37" s="5"/>
      <c r="I37" s="124"/>
      <c r="J37" s="127"/>
      <c r="K37" s="132"/>
      <c r="L37" s="14"/>
      <c r="M37" s="25">
        <f t="shared" si="1"/>
        <v>0</v>
      </c>
      <c r="N37" s="140">
        <f t="shared" si="2"/>
        <v>0</v>
      </c>
      <c r="O37" s="143"/>
      <c r="AA37" s="101">
        <f t="shared" si="3"/>
        <v>0</v>
      </c>
      <c r="AB37" s="40">
        <f t="shared" si="4"/>
        <v>0</v>
      </c>
      <c r="AC37" s="40">
        <f t="shared" si="5"/>
        <v>0</v>
      </c>
      <c r="AD37" s="40">
        <f t="shared" si="6"/>
        <v>0</v>
      </c>
      <c r="AE37" s="40">
        <f t="shared" si="7"/>
        <v>0</v>
      </c>
      <c r="AF37" s="102">
        <f t="shared" si="8"/>
        <v>0</v>
      </c>
    </row>
    <row r="38" spans="1:32" x14ac:dyDescent="0.25">
      <c r="A38" s="181"/>
      <c r="B38" s="178"/>
      <c r="C38" s="175"/>
      <c r="D38" s="180">
        <f t="shared" si="0"/>
        <v>0</v>
      </c>
      <c r="E38" s="4"/>
      <c r="F38" s="5"/>
      <c r="G38" s="4"/>
      <c r="H38" s="5"/>
      <c r="I38" s="124"/>
      <c r="J38" s="127"/>
      <c r="K38" s="132"/>
      <c r="L38" s="14"/>
      <c r="M38" s="25">
        <f t="shared" si="1"/>
        <v>0</v>
      </c>
      <c r="N38" s="140">
        <f t="shared" si="2"/>
        <v>0</v>
      </c>
      <c r="O38" s="143"/>
      <c r="AA38" s="101">
        <f t="shared" si="3"/>
        <v>0</v>
      </c>
      <c r="AB38" s="40">
        <f t="shared" si="4"/>
        <v>0</v>
      </c>
      <c r="AC38" s="40">
        <f t="shared" si="5"/>
        <v>0</v>
      </c>
      <c r="AD38" s="40">
        <f t="shared" si="6"/>
        <v>0</v>
      </c>
      <c r="AE38" s="40">
        <f t="shared" si="7"/>
        <v>0</v>
      </c>
      <c r="AF38" s="102">
        <f t="shared" si="8"/>
        <v>0</v>
      </c>
    </row>
    <row r="39" spans="1:32" x14ac:dyDescent="0.25">
      <c r="A39" s="181"/>
      <c r="B39" s="178"/>
      <c r="C39" s="175"/>
      <c r="D39" s="180">
        <f t="shared" ref="D39:D70" si="9">L39+(E39*F39)+(G39*H39)+(I39*J39)</f>
        <v>0</v>
      </c>
      <c r="E39" s="4"/>
      <c r="F39" s="5"/>
      <c r="G39" s="4"/>
      <c r="H39" s="5"/>
      <c r="I39" s="124"/>
      <c r="J39" s="127"/>
      <c r="K39" s="132"/>
      <c r="L39" s="14"/>
      <c r="M39" s="25">
        <f t="shared" ref="M39:M60" si="10">L39*C39</f>
        <v>0</v>
      </c>
      <c r="N39" s="140">
        <f t="shared" ref="N39:N60" si="11">C39*D39</f>
        <v>0</v>
      </c>
      <c r="O39" s="143"/>
      <c r="AA39" s="101">
        <f t="shared" ref="AA39:AA60" si="12">C39*E39</f>
        <v>0</v>
      </c>
      <c r="AB39" s="40">
        <f t="shared" ref="AB39:AB60" si="13">(C39*E39)*F39</f>
        <v>0</v>
      </c>
      <c r="AC39" s="40">
        <f t="shared" ref="AC39:AC60" si="14">C39*I39</f>
        <v>0</v>
      </c>
      <c r="AD39" s="40">
        <f t="shared" ref="AD39:AD60" si="15">(C39*I39)*J39</f>
        <v>0</v>
      </c>
      <c r="AE39" s="40">
        <f t="shared" ref="AE39:AE60" si="16">C39*G39</f>
        <v>0</v>
      </c>
      <c r="AF39" s="102">
        <f t="shared" ref="AF39:AF60" si="17">(C39*G39)*H39</f>
        <v>0</v>
      </c>
    </row>
    <row r="40" spans="1:32" x14ac:dyDescent="0.25">
      <c r="A40" s="181"/>
      <c r="B40" s="178"/>
      <c r="C40" s="175"/>
      <c r="D40" s="180">
        <f t="shared" si="9"/>
        <v>0</v>
      </c>
      <c r="E40" s="4"/>
      <c r="F40" s="5"/>
      <c r="G40" s="4"/>
      <c r="H40" s="5"/>
      <c r="I40" s="124"/>
      <c r="J40" s="127"/>
      <c r="K40" s="132"/>
      <c r="L40" s="14"/>
      <c r="M40" s="25">
        <f t="shared" si="10"/>
        <v>0</v>
      </c>
      <c r="N40" s="140">
        <f t="shared" si="11"/>
        <v>0</v>
      </c>
      <c r="O40" s="143"/>
      <c r="AA40" s="101">
        <f t="shared" si="12"/>
        <v>0</v>
      </c>
      <c r="AB40" s="40">
        <f t="shared" si="13"/>
        <v>0</v>
      </c>
      <c r="AC40" s="40">
        <f t="shared" si="14"/>
        <v>0</v>
      </c>
      <c r="AD40" s="40">
        <f t="shared" si="15"/>
        <v>0</v>
      </c>
      <c r="AE40" s="40">
        <f t="shared" si="16"/>
        <v>0</v>
      </c>
      <c r="AF40" s="102">
        <f t="shared" si="17"/>
        <v>0</v>
      </c>
    </row>
    <row r="41" spans="1:32" x14ac:dyDescent="0.25">
      <c r="A41" s="181"/>
      <c r="B41" s="178"/>
      <c r="C41" s="175"/>
      <c r="D41" s="180">
        <f t="shared" si="9"/>
        <v>0</v>
      </c>
      <c r="E41" s="4"/>
      <c r="F41" s="5"/>
      <c r="G41" s="4"/>
      <c r="H41" s="5"/>
      <c r="I41" s="124"/>
      <c r="J41" s="127"/>
      <c r="K41" s="132"/>
      <c r="L41" s="14"/>
      <c r="M41" s="25">
        <f t="shared" si="10"/>
        <v>0</v>
      </c>
      <c r="N41" s="140">
        <f t="shared" si="11"/>
        <v>0</v>
      </c>
      <c r="O41" s="143"/>
      <c r="AA41" s="101">
        <f t="shared" si="12"/>
        <v>0</v>
      </c>
      <c r="AB41" s="40">
        <f t="shared" si="13"/>
        <v>0</v>
      </c>
      <c r="AC41" s="40">
        <f t="shared" si="14"/>
        <v>0</v>
      </c>
      <c r="AD41" s="40">
        <f t="shared" si="15"/>
        <v>0</v>
      </c>
      <c r="AE41" s="40">
        <f t="shared" si="16"/>
        <v>0</v>
      </c>
      <c r="AF41" s="102">
        <f t="shared" si="17"/>
        <v>0</v>
      </c>
    </row>
    <row r="42" spans="1:32" x14ac:dyDescent="0.25">
      <c r="A42" s="181"/>
      <c r="B42" s="178"/>
      <c r="C42" s="175"/>
      <c r="D42" s="180">
        <f t="shared" si="9"/>
        <v>0</v>
      </c>
      <c r="E42" s="4"/>
      <c r="F42" s="5"/>
      <c r="G42" s="4"/>
      <c r="H42" s="5"/>
      <c r="I42" s="124"/>
      <c r="J42" s="127"/>
      <c r="K42" s="132"/>
      <c r="L42" s="14"/>
      <c r="M42" s="25">
        <f t="shared" si="10"/>
        <v>0</v>
      </c>
      <c r="N42" s="140">
        <f t="shared" si="11"/>
        <v>0</v>
      </c>
      <c r="O42" s="143"/>
      <c r="AA42" s="101">
        <f t="shared" si="12"/>
        <v>0</v>
      </c>
      <c r="AB42" s="40">
        <f t="shared" si="13"/>
        <v>0</v>
      </c>
      <c r="AC42" s="40">
        <f t="shared" si="14"/>
        <v>0</v>
      </c>
      <c r="AD42" s="40">
        <f t="shared" si="15"/>
        <v>0</v>
      </c>
      <c r="AE42" s="40">
        <f t="shared" si="16"/>
        <v>0</v>
      </c>
      <c r="AF42" s="102">
        <f t="shared" si="17"/>
        <v>0</v>
      </c>
    </row>
    <row r="43" spans="1:32" x14ac:dyDescent="0.25">
      <c r="A43" s="181"/>
      <c r="B43" s="178"/>
      <c r="C43" s="175"/>
      <c r="D43" s="180">
        <f t="shared" si="9"/>
        <v>0</v>
      </c>
      <c r="E43" s="4"/>
      <c r="F43" s="5"/>
      <c r="G43" s="4"/>
      <c r="H43" s="5"/>
      <c r="I43" s="124"/>
      <c r="J43" s="127"/>
      <c r="K43" s="132"/>
      <c r="L43" s="14"/>
      <c r="M43" s="25">
        <f t="shared" si="10"/>
        <v>0</v>
      </c>
      <c r="N43" s="140">
        <f t="shared" si="11"/>
        <v>0</v>
      </c>
      <c r="O43" s="143"/>
      <c r="AA43" s="101">
        <f t="shared" si="12"/>
        <v>0</v>
      </c>
      <c r="AB43" s="40">
        <f t="shared" si="13"/>
        <v>0</v>
      </c>
      <c r="AC43" s="40">
        <f t="shared" si="14"/>
        <v>0</v>
      </c>
      <c r="AD43" s="40">
        <f t="shared" si="15"/>
        <v>0</v>
      </c>
      <c r="AE43" s="40">
        <f t="shared" si="16"/>
        <v>0</v>
      </c>
      <c r="AF43" s="102">
        <f t="shared" si="17"/>
        <v>0</v>
      </c>
    </row>
    <row r="44" spans="1:32" x14ac:dyDescent="0.25">
      <c r="A44" s="181"/>
      <c r="B44" s="178"/>
      <c r="C44" s="175"/>
      <c r="D44" s="180">
        <f t="shared" si="9"/>
        <v>0</v>
      </c>
      <c r="E44" s="4"/>
      <c r="F44" s="5"/>
      <c r="G44" s="4"/>
      <c r="H44" s="5"/>
      <c r="I44" s="124"/>
      <c r="J44" s="127"/>
      <c r="K44" s="132"/>
      <c r="L44" s="14"/>
      <c r="M44" s="25">
        <f t="shared" ref="M44:M53" si="18">L44*C44</f>
        <v>0</v>
      </c>
      <c r="N44" s="140">
        <f t="shared" ref="N44:N53" si="19">C44*D44</f>
        <v>0</v>
      </c>
      <c r="O44" s="143"/>
      <c r="AA44" s="101">
        <f t="shared" ref="AA44:AA53" si="20">C44*E44</f>
        <v>0</v>
      </c>
      <c r="AB44" s="40">
        <f t="shared" ref="AB44:AB53" si="21">(C44*E44)*F44</f>
        <v>0</v>
      </c>
      <c r="AC44" s="40">
        <f t="shared" ref="AC44:AC53" si="22">C44*I44</f>
        <v>0</v>
      </c>
      <c r="AD44" s="40">
        <f t="shared" ref="AD44:AD53" si="23">(C44*I44)*J44</f>
        <v>0</v>
      </c>
      <c r="AE44" s="40">
        <f t="shared" ref="AE44:AE53" si="24">C44*G44</f>
        <v>0</v>
      </c>
      <c r="AF44" s="102">
        <f t="shared" ref="AF44:AF53" si="25">(C44*G44)*H44</f>
        <v>0</v>
      </c>
    </row>
    <row r="45" spans="1:32" x14ac:dyDescent="0.25">
      <c r="A45" s="181"/>
      <c r="B45" s="178"/>
      <c r="C45" s="175"/>
      <c r="D45" s="180">
        <f t="shared" si="9"/>
        <v>0</v>
      </c>
      <c r="E45" s="4"/>
      <c r="F45" s="5"/>
      <c r="G45" s="4"/>
      <c r="H45" s="5"/>
      <c r="I45" s="124"/>
      <c r="J45" s="127"/>
      <c r="K45" s="132"/>
      <c r="L45" s="14"/>
      <c r="M45" s="25">
        <f t="shared" si="18"/>
        <v>0</v>
      </c>
      <c r="N45" s="140">
        <f t="shared" si="19"/>
        <v>0</v>
      </c>
      <c r="O45" s="143"/>
      <c r="AA45" s="101">
        <f t="shared" si="20"/>
        <v>0</v>
      </c>
      <c r="AB45" s="40">
        <f t="shared" si="21"/>
        <v>0</v>
      </c>
      <c r="AC45" s="40">
        <f t="shared" si="22"/>
        <v>0</v>
      </c>
      <c r="AD45" s="40">
        <f t="shared" si="23"/>
        <v>0</v>
      </c>
      <c r="AE45" s="40">
        <f t="shared" si="24"/>
        <v>0</v>
      </c>
      <c r="AF45" s="102">
        <f t="shared" si="25"/>
        <v>0</v>
      </c>
    </row>
    <row r="46" spans="1:32" x14ac:dyDescent="0.25">
      <c r="A46" s="181"/>
      <c r="B46" s="178"/>
      <c r="C46" s="175"/>
      <c r="D46" s="180">
        <f t="shared" si="9"/>
        <v>0</v>
      </c>
      <c r="E46" s="4"/>
      <c r="F46" s="5"/>
      <c r="G46" s="4"/>
      <c r="H46" s="5"/>
      <c r="I46" s="124"/>
      <c r="J46" s="127"/>
      <c r="K46" s="132"/>
      <c r="L46" s="14"/>
      <c r="M46" s="25">
        <f t="shared" si="18"/>
        <v>0</v>
      </c>
      <c r="N46" s="140">
        <f t="shared" si="19"/>
        <v>0</v>
      </c>
      <c r="O46" s="143"/>
      <c r="AA46" s="101">
        <f t="shared" si="20"/>
        <v>0</v>
      </c>
      <c r="AB46" s="40">
        <f t="shared" si="21"/>
        <v>0</v>
      </c>
      <c r="AC46" s="40">
        <f t="shared" si="22"/>
        <v>0</v>
      </c>
      <c r="AD46" s="40">
        <f t="shared" si="23"/>
        <v>0</v>
      </c>
      <c r="AE46" s="40">
        <f t="shared" si="24"/>
        <v>0</v>
      </c>
      <c r="AF46" s="102">
        <f t="shared" si="25"/>
        <v>0</v>
      </c>
    </row>
    <row r="47" spans="1:32" x14ac:dyDescent="0.25">
      <c r="A47" s="181"/>
      <c r="B47" s="178"/>
      <c r="C47" s="175"/>
      <c r="D47" s="180">
        <f t="shared" si="9"/>
        <v>0</v>
      </c>
      <c r="E47" s="4"/>
      <c r="F47" s="5"/>
      <c r="G47" s="4"/>
      <c r="H47" s="5"/>
      <c r="I47" s="124"/>
      <c r="J47" s="127"/>
      <c r="K47" s="132"/>
      <c r="L47" s="14"/>
      <c r="M47" s="25">
        <f t="shared" si="18"/>
        <v>0</v>
      </c>
      <c r="N47" s="140">
        <f t="shared" si="19"/>
        <v>0</v>
      </c>
      <c r="O47" s="143"/>
      <c r="AA47" s="101">
        <f t="shared" si="20"/>
        <v>0</v>
      </c>
      <c r="AB47" s="40">
        <f t="shared" si="21"/>
        <v>0</v>
      </c>
      <c r="AC47" s="40">
        <f t="shared" si="22"/>
        <v>0</v>
      </c>
      <c r="AD47" s="40">
        <f t="shared" si="23"/>
        <v>0</v>
      </c>
      <c r="AE47" s="40">
        <f t="shared" si="24"/>
        <v>0</v>
      </c>
      <c r="AF47" s="102">
        <f t="shared" si="25"/>
        <v>0</v>
      </c>
    </row>
    <row r="48" spans="1:32" x14ac:dyDescent="0.25">
      <c r="A48" s="181"/>
      <c r="B48" s="178"/>
      <c r="C48" s="175"/>
      <c r="D48" s="180">
        <f t="shared" si="9"/>
        <v>0</v>
      </c>
      <c r="E48" s="4"/>
      <c r="F48" s="5"/>
      <c r="G48" s="4"/>
      <c r="H48" s="5"/>
      <c r="I48" s="124"/>
      <c r="J48" s="127"/>
      <c r="K48" s="132"/>
      <c r="L48" s="14"/>
      <c r="M48" s="25">
        <f t="shared" si="18"/>
        <v>0</v>
      </c>
      <c r="N48" s="140">
        <f t="shared" si="19"/>
        <v>0</v>
      </c>
      <c r="O48" s="143"/>
      <c r="AA48" s="101">
        <f t="shared" si="20"/>
        <v>0</v>
      </c>
      <c r="AB48" s="40">
        <f t="shared" si="21"/>
        <v>0</v>
      </c>
      <c r="AC48" s="40">
        <f t="shared" si="22"/>
        <v>0</v>
      </c>
      <c r="AD48" s="40">
        <f t="shared" si="23"/>
        <v>0</v>
      </c>
      <c r="AE48" s="40">
        <f t="shared" si="24"/>
        <v>0</v>
      </c>
      <c r="AF48" s="102">
        <f t="shared" si="25"/>
        <v>0</v>
      </c>
    </row>
    <row r="49" spans="1:32" x14ac:dyDescent="0.25">
      <c r="A49" s="181"/>
      <c r="B49" s="178"/>
      <c r="C49" s="175"/>
      <c r="D49" s="180">
        <f t="shared" si="9"/>
        <v>0</v>
      </c>
      <c r="E49" s="4"/>
      <c r="F49" s="5"/>
      <c r="G49" s="4"/>
      <c r="H49" s="5"/>
      <c r="I49" s="124"/>
      <c r="J49" s="127"/>
      <c r="K49" s="132"/>
      <c r="L49" s="14"/>
      <c r="M49" s="25">
        <f t="shared" si="18"/>
        <v>0</v>
      </c>
      <c r="N49" s="140">
        <f t="shared" si="19"/>
        <v>0</v>
      </c>
      <c r="O49" s="143"/>
      <c r="AA49" s="101">
        <f t="shared" si="20"/>
        <v>0</v>
      </c>
      <c r="AB49" s="40">
        <f t="shared" si="21"/>
        <v>0</v>
      </c>
      <c r="AC49" s="40">
        <f t="shared" si="22"/>
        <v>0</v>
      </c>
      <c r="AD49" s="40">
        <f t="shared" si="23"/>
        <v>0</v>
      </c>
      <c r="AE49" s="40">
        <f t="shared" si="24"/>
        <v>0</v>
      </c>
      <c r="AF49" s="102">
        <f t="shared" si="25"/>
        <v>0</v>
      </c>
    </row>
    <row r="50" spans="1:32" x14ac:dyDescent="0.25">
      <c r="A50" s="181"/>
      <c r="B50" s="178"/>
      <c r="C50" s="175"/>
      <c r="D50" s="180">
        <f t="shared" si="9"/>
        <v>0</v>
      </c>
      <c r="E50" s="4"/>
      <c r="F50" s="5"/>
      <c r="G50" s="4"/>
      <c r="H50" s="5"/>
      <c r="I50" s="124"/>
      <c r="J50" s="127"/>
      <c r="K50" s="132"/>
      <c r="L50" s="14"/>
      <c r="M50" s="25">
        <f t="shared" si="18"/>
        <v>0</v>
      </c>
      <c r="N50" s="140">
        <f t="shared" si="19"/>
        <v>0</v>
      </c>
      <c r="O50" s="143"/>
      <c r="AA50" s="101">
        <f t="shared" si="20"/>
        <v>0</v>
      </c>
      <c r="AB50" s="40">
        <f t="shared" si="21"/>
        <v>0</v>
      </c>
      <c r="AC50" s="40">
        <f t="shared" si="22"/>
        <v>0</v>
      </c>
      <c r="AD50" s="40">
        <f t="shared" si="23"/>
        <v>0</v>
      </c>
      <c r="AE50" s="40">
        <f t="shared" si="24"/>
        <v>0</v>
      </c>
      <c r="AF50" s="102">
        <f t="shared" si="25"/>
        <v>0</v>
      </c>
    </row>
    <row r="51" spans="1:32" x14ac:dyDescent="0.25">
      <c r="A51" s="181"/>
      <c r="B51" s="178"/>
      <c r="C51" s="175"/>
      <c r="D51" s="180">
        <f t="shared" si="9"/>
        <v>0</v>
      </c>
      <c r="E51" s="4"/>
      <c r="F51" s="5"/>
      <c r="G51" s="4"/>
      <c r="H51" s="5"/>
      <c r="I51" s="124"/>
      <c r="J51" s="127"/>
      <c r="K51" s="132"/>
      <c r="L51" s="14"/>
      <c r="M51" s="25">
        <f t="shared" si="18"/>
        <v>0</v>
      </c>
      <c r="N51" s="140">
        <f t="shared" si="19"/>
        <v>0</v>
      </c>
      <c r="O51" s="143"/>
      <c r="AA51" s="101">
        <f t="shared" si="20"/>
        <v>0</v>
      </c>
      <c r="AB51" s="40">
        <f t="shared" si="21"/>
        <v>0</v>
      </c>
      <c r="AC51" s="40">
        <f t="shared" si="22"/>
        <v>0</v>
      </c>
      <c r="AD51" s="40">
        <f t="shared" si="23"/>
        <v>0</v>
      </c>
      <c r="AE51" s="40">
        <f t="shared" si="24"/>
        <v>0</v>
      </c>
      <c r="AF51" s="102">
        <f t="shared" si="25"/>
        <v>0</v>
      </c>
    </row>
    <row r="52" spans="1:32" x14ac:dyDescent="0.25">
      <c r="A52" s="181"/>
      <c r="B52" s="178"/>
      <c r="C52" s="175"/>
      <c r="D52" s="180">
        <f t="shared" si="9"/>
        <v>0</v>
      </c>
      <c r="E52" s="4"/>
      <c r="F52" s="5"/>
      <c r="G52" s="4"/>
      <c r="H52" s="5"/>
      <c r="I52" s="124"/>
      <c r="J52" s="127"/>
      <c r="K52" s="132"/>
      <c r="L52" s="14"/>
      <c r="M52" s="25">
        <f t="shared" si="18"/>
        <v>0</v>
      </c>
      <c r="N52" s="140">
        <f t="shared" si="19"/>
        <v>0</v>
      </c>
      <c r="O52" s="143"/>
      <c r="AA52" s="101">
        <f t="shared" si="20"/>
        <v>0</v>
      </c>
      <c r="AB52" s="40">
        <f t="shared" si="21"/>
        <v>0</v>
      </c>
      <c r="AC52" s="40">
        <f t="shared" si="22"/>
        <v>0</v>
      </c>
      <c r="AD52" s="40">
        <f t="shared" si="23"/>
        <v>0</v>
      </c>
      <c r="AE52" s="40">
        <f t="shared" si="24"/>
        <v>0</v>
      </c>
      <c r="AF52" s="102">
        <f t="shared" si="25"/>
        <v>0</v>
      </c>
    </row>
    <row r="53" spans="1:32" x14ac:dyDescent="0.25">
      <c r="A53" s="181"/>
      <c r="B53" s="178"/>
      <c r="C53" s="175"/>
      <c r="D53" s="180">
        <f t="shared" si="9"/>
        <v>0</v>
      </c>
      <c r="E53" s="4"/>
      <c r="F53" s="5"/>
      <c r="G53" s="4"/>
      <c r="H53" s="5"/>
      <c r="I53" s="124"/>
      <c r="J53" s="127"/>
      <c r="K53" s="132"/>
      <c r="L53" s="14"/>
      <c r="M53" s="25">
        <f t="shared" si="18"/>
        <v>0</v>
      </c>
      <c r="N53" s="140">
        <f t="shared" si="19"/>
        <v>0</v>
      </c>
      <c r="O53" s="143"/>
      <c r="AA53" s="101">
        <f t="shared" si="20"/>
        <v>0</v>
      </c>
      <c r="AB53" s="40">
        <f t="shared" si="21"/>
        <v>0</v>
      </c>
      <c r="AC53" s="40">
        <f t="shared" si="22"/>
        <v>0</v>
      </c>
      <c r="AD53" s="40">
        <f t="shared" si="23"/>
        <v>0</v>
      </c>
      <c r="AE53" s="40">
        <f t="shared" si="24"/>
        <v>0</v>
      </c>
      <c r="AF53" s="102">
        <f t="shared" si="25"/>
        <v>0</v>
      </c>
    </row>
    <row r="54" spans="1:32" x14ac:dyDescent="0.25">
      <c r="A54" s="181"/>
      <c r="B54" s="178"/>
      <c r="C54" s="175"/>
      <c r="D54" s="180">
        <f t="shared" si="9"/>
        <v>0</v>
      </c>
      <c r="E54" s="4"/>
      <c r="F54" s="5"/>
      <c r="G54" s="4"/>
      <c r="H54" s="5"/>
      <c r="I54" s="124"/>
      <c r="J54" s="127"/>
      <c r="K54" s="132"/>
      <c r="L54" s="14"/>
      <c r="M54" s="25">
        <f t="shared" si="10"/>
        <v>0</v>
      </c>
      <c r="N54" s="140">
        <f t="shared" si="11"/>
        <v>0</v>
      </c>
      <c r="O54" s="143"/>
      <c r="AA54" s="101">
        <f t="shared" si="12"/>
        <v>0</v>
      </c>
      <c r="AB54" s="40">
        <f t="shared" si="13"/>
        <v>0</v>
      </c>
      <c r="AC54" s="40">
        <f t="shared" si="14"/>
        <v>0</v>
      </c>
      <c r="AD54" s="40">
        <f t="shared" si="15"/>
        <v>0</v>
      </c>
      <c r="AE54" s="40">
        <f t="shared" si="16"/>
        <v>0</v>
      </c>
      <c r="AF54" s="102">
        <f t="shared" si="17"/>
        <v>0</v>
      </c>
    </row>
    <row r="55" spans="1:32" x14ac:dyDescent="0.25">
      <c r="A55" s="181"/>
      <c r="B55" s="178"/>
      <c r="C55" s="175"/>
      <c r="D55" s="180">
        <f t="shared" si="9"/>
        <v>0</v>
      </c>
      <c r="E55" s="4"/>
      <c r="F55" s="5"/>
      <c r="G55" s="4"/>
      <c r="H55" s="5"/>
      <c r="I55" s="124"/>
      <c r="J55" s="127"/>
      <c r="K55" s="132"/>
      <c r="L55" s="14"/>
      <c r="M55" s="25">
        <f t="shared" si="10"/>
        <v>0</v>
      </c>
      <c r="N55" s="140">
        <f t="shared" si="11"/>
        <v>0</v>
      </c>
      <c r="O55" s="143"/>
      <c r="AA55" s="101">
        <f t="shared" si="12"/>
        <v>0</v>
      </c>
      <c r="AB55" s="40">
        <f t="shared" si="13"/>
        <v>0</v>
      </c>
      <c r="AC55" s="40">
        <f t="shared" si="14"/>
        <v>0</v>
      </c>
      <c r="AD55" s="40">
        <f t="shared" si="15"/>
        <v>0</v>
      </c>
      <c r="AE55" s="40">
        <f t="shared" si="16"/>
        <v>0</v>
      </c>
      <c r="AF55" s="102">
        <f t="shared" si="17"/>
        <v>0</v>
      </c>
    </row>
    <row r="56" spans="1:32" x14ac:dyDescent="0.25">
      <c r="A56" s="181"/>
      <c r="B56" s="178"/>
      <c r="C56" s="175"/>
      <c r="D56" s="180">
        <f t="shared" si="9"/>
        <v>0</v>
      </c>
      <c r="E56" s="4"/>
      <c r="F56" s="5"/>
      <c r="G56" s="4"/>
      <c r="H56" s="5"/>
      <c r="I56" s="124"/>
      <c r="J56" s="127"/>
      <c r="K56" s="132"/>
      <c r="L56" s="14"/>
      <c r="M56" s="25">
        <f t="shared" si="10"/>
        <v>0</v>
      </c>
      <c r="N56" s="140">
        <f t="shared" si="11"/>
        <v>0</v>
      </c>
      <c r="O56" s="143"/>
      <c r="AA56" s="101">
        <f t="shared" si="12"/>
        <v>0</v>
      </c>
      <c r="AB56" s="40">
        <f t="shared" si="13"/>
        <v>0</v>
      </c>
      <c r="AC56" s="40">
        <f t="shared" si="14"/>
        <v>0</v>
      </c>
      <c r="AD56" s="40">
        <f t="shared" si="15"/>
        <v>0</v>
      </c>
      <c r="AE56" s="40">
        <f t="shared" si="16"/>
        <v>0</v>
      </c>
      <c r="AF56" s="102">
        <f t="shared" si="17"/>
        <v>0</v>
      </c>
    </row>
    <row r="57" spans="1:32" x14ac:dyDescent="0.25">
      <c r="A57" s="181"/>
      <c r="B57" s="178"/>
      <c r="C57" s="175"/>
      <c r="D57" s="180">
        <f t="shared" si="9"/>
        <v>0</v>
      </c>
      <c r="E57" s="4"/>
      <c r="F57" s="5"/>
      <c r="G57" s="4"/>
      <c r="H57" s="5"/>
      <c r="I57" s="124"/>
      <c r="J57" s="127"/>
      <c r="K57" s="132"/>
      <c r="L57" s="14"/>
      <c r="M57" s="25">
        <f t="shared" si="10"/>
        <v>0</v>
      </c>
      <c r="N57" s="140">
        <f t="shared" si="11"/>
        <v>0</v>
      </c>
      <c r="O57" s="143"/>
      <c r="AA57" s="101">
        <f t="shared" si="12"/>
        <v>0</v>
      </c>
      <c r="AB57" s="40">
        <f t="shared" si="13"/>
        <v>0</v>
      </c>
      <c r="AC57" s="40">
        <f t="shared" si="14"/>
        <v>0</v>
      </c>
      <c r="AD57" s="40">
        <f t="shared" si="15"/>
        <v>0</v>
      </c>
      <c r="AE57" s="40">
        <f t="shared" si="16"/>
        <v>0</v>
      </c>
      <c r="AF57" s="102">
        <f t="shared" si="17"/>
        <v>0</v>
      </c>
    </row>
    <row r="58" spans="1:32" x14ac:dyDescent="0.25">
      <c r="A58" s="181"/>
      <c r="B58" s="178"/>
      <c r="C58" s="175"/>
      <c r="D58" s="180">
        <f t="shared" si="9"/>
        <v>0</v>
      </c>
      <c r="E58" s="4"/>
      <c r="F58" s="5"/>
      <c r="G58" s="4"/>
      <c r="H58" s="5"/>
      <c r="I58" s="124"/>
      <c r="J58" s="127"/>
      <c r="K58" s="132"/>
      <c r="L58" s="14"/>
      <c r="M58" s="25">
        <f t="shared" si="10"/>
        <v>0</v>
      </c>
      <c r="N58" s="140">
        <f t="shared" si="11"/>
        <v>0</v>
      </c>
      <c r="O58" s="143"/>
      <c r="AA58" s="101">
        <f t="shared" si="12"/>
        <v>0</v>
      </c>
      <c r="AB58" s="40">
        <f t="shared" si="13"/>
        <v>0</v>
      </c>
      <c r="AC58" s="40">
        <f t="shared" si="14"/>
        <v>0</v>
      </c>
      <c r="AD58" s="40">
        <f t="shared" si="15"/>
        <v>0</v>
      </c>
      <c r="AE58" s="40">
        <f t="shared" si="16"/>
        <v>0</v>
      </c>
      <c r="AF58" s="102">
        <f t="shared" si="17"/>
        <v>0</v>
      </c>
    </row>
    <row r="59" spans="1:32" x14ac:dyDescent="0.25">
      <c r="A59" s="181"/>
      <c r="B59" s="178"/>
      <c r="C59" s="175"/>
      <c r="D59" s="180">
        <f t="shared" si="9"/>
        <v>0</v>
      </c>
      <c r="E59" s="4"/>
      <c r="F59" s="5"/>
      <c r="G59" s="4"/>
      <c r="H59" s="5"/>
      <c r="I59" s="124"/>
      <c r="J59" s="127"/>
      <c r="K59" s="132"/>
      <c r="L59" s="14"/>
      <c r="M59" s="25">
        <f t="shared" si="10"/>
        <v>0</v>
      </c>
      <c r="N59" s="140">
        <f t="shared" si="11"/>
        <v>0</v>
      </c>
      <c r="O59" s="143"/>
      <c r="AA59" s="101">
        <f t="shared" si="12"/>
        <v>0</v>
      </c>
      <c r="AB59" s="40">
        <f t="shared" si="13"/>
        <v>0</v>
      </c>
      <c r="AC59" s="40">
        <f t="shared" si="14"/>
        <v>0</v>
      </c>
      <c r="AD59" s="40">
        <f t="shared" si="15"/>
        <v>0</v>
      </c>
      <c r="AE59" s="40">
        <f t="shared" si="16"/>
        <v>0</v>
      </c>
      <c r="AF59" s="102">
        <f t="shared" si="17"/>
        <v>0</v>
      </c>
    </row>
    <row r="60" spans="1:32" x14ac:dyDescent="0.25">
      <c r="A60" s="181"/>
      <c r="B60" s="178"/>
      <c r="C60" s="175"/>
      <c r="D60" s="180">
        <f t="shared" si="9"/>
        <v>0</v>
      </c>
      <c r="E60" s="4"/>
      <c r="F60" s="5"/>
      <c r="G60" s="4"/>
      <c r="H60" s="5"/>
      <c r="I60" s="124"/>
      <c r="J60" s="127"/>
      <c r="K60" s="132"/>
      <c r="L60" s="14"/>
      <c r="M60" s="25">
        <f t="shared" si="10"/>
        <v>0</v>
      </c>
      <c r="N60" s="140">
        <f t="shared" si="11"/>
        <v>0</v>
      </c>
      <c r="O60" s="143"/>
      <c r="AA60" s="101">
        <f t="shared" si="12"/>
        <v>0</v>
      </c>
      <c r="AB60" s="40">
        <f t="shared" si="13"/>
        <v>0</v>
      </c>
      <c r="AC60" s="40">
        <f t="shared" si="14"/>
        <v>0</v>
      </c>
      <c r="AD60" s="40">
        <f t="shared" si="15"/>
        <v>0</v>
      </c>
      <c r="AE60" s="40">
        <f t="shared" si="16"/>
        <v>0</v>
      </c>
      <c r="AF60" s="102">
        <f t="shared" si="17"/>
        <v>0</v>
      </c>
    </row>
    <row r="61" spans="1:32" x14ac:dyDescent="0.25">
      <c r="A61" s="181"/>
      <c r="B61" s="178"/>
      <c r="C61" s="175"/>
      <c r="D61" s="180">
        <f t="shared" si="9"/>
        <v>0</v>
      </c>
      <c r="E61" s="4"/>
      <c r="F61" s="5"/>
      <c r="G61" s="4"/>
      <c r="H61" s="5"/>
      <c r="I61" s="124"/>
      <c r="J61" s="127"/>
      <c r="K61" s="132"/>
      <c r="L61" s="14"/>
      <c r="M61" s="25">
        <f t="shared" si="1"/>
        <v>0</v>
      </c>
      <c r="N61" s="140">
        <f t="shared" si="2"/>
        <v>0</v>
      </c>
      <c r="O61" s="143"/>
      <c r="AA61" s="101">
        <f t="shared" si="3"/>
        <v>0</v>
      </c>
      <c r="AB61" s="40">
        <f t="shared" si="4"/>
        <v>0</v>
      </c>
      <c r="AC61" s="40">
        <f t="shared" si="5"/>
        <v>0</v>
      </c>
      <c r="AD61" s="40">
        <f t="shared" si="6"/>
        <v>0</v>
      </c>
      <c r="AE61" s="40">
        <f t="shared" si="7"/>
        <v>0</v>
      </c>
      <c r="AF61" s="102">
        <f t="shared" si="8"/>
        <v>0</v>
      </c>
    </row>
    <row r="62" spans="1:32" x14ac:dyDescent="0.25">
      <c r="A62" s="181"/>
      <c r="B62" s="178"/>
      <c r="C62" s="175"/>
      <c r="D62" s="180">
        <f t="shared" si="9"/>
        <v>0</v>
      </c>
      <c r="E62" s="4"/>
      <c r="F62" s="5"/>
      <c r="G62" s="4"/>
      <c r="H62" s="5"/>
      <c r="I62" s="124"/>
      <c r="J62" s="127"/>
      <c r="K62" s="132"/>
      <c r="L62" s="14"/>
      <c r="M62" s="25">
        <f t="shared" si="1"/>
        <v>0</v>
      </c>
      <c r="N62" s="140">
        <f t="shared" si="2"/>
        <v>0</v>
      </c>
      <c r="O62" s="143"/>
      <c r="AA62" s="101">
        <f t="shared" si="3"/>
        <v>0</v>
      </c>
      <c r="AB62" s="40">
        <f t="shared" si="4"/>
        <v>0</v>
      </c>
      <c r="AC62" s="40">
        <f t="shared" si="5"/>
        <v>0</v>
      </c>
      <c r="AD62" s="40">
        <f t="shared" si="6"/>
        <v>0</v>
      </c>
      <c r="AE62" s="40">
        <f t="shared" si="7"/>
        <v>0</v>
      </c>
      <c r="AF62" s="102">
        <f t="shared" si="8"/>
        <v>0</v>
      </c>
    </row>
    <row r="63" spans="1:32" x14ac:dyDescent="0.25">
      <c r="A63" s="181"/>
      <c r="B63" s="178"/>
      <c r="C63" s="175"/>
      <c r="D63" s="180">
        <f t="shared" si="9"/>
        <v>0</v>
      </c>
      <c r="E63" s="4"/>
      <c r="F63" s="5"/>
      <c r="G63" s="4"/>
      <c r="H63" s="5"/>
      <c r="I63" s="124"/>
      <c r="J63" s="127"/>
      <c r="K63" s="132"/>
      <c r="L63" s="14"/>
      <c r="M63" s="25">
        <f t="shared" si="1"/>
        <v>0</v>
      </c>
      <c r="N63" s="140">
        <f t="shared" si="2"/>
        <v>0</v>
      </c>
      <c r="O63" s="143"/>
      <c r="AA63" s="101">
        <f t="shared" si="3"/>
        <v>0</v>
      </c>
      <c r="AB63" s="40">
        <f t="shared" si="4"/>
        <v>0</v>
      </c>
      <c r="AC63" s="40">
        <f t="shared" si="5"/>
        <v>0</v>
      </c>
      <c r="AD63" s="40">
        <f t="shared" si="6"/>
        <v>0</v>
      </c>
      <c r="AE63" s="40">
        <f t="shared" si="7"/>
        <v>0</v>
      </c>
      <c r="AF63" s="102">
        <f t="shared" si="8"/>
        <v>0</v>
      </c>
    </row>
    <row r="64" spans="1:32" x14ac:dyDescent="0.25">
      <c r="A64" s="181"/>
      <c r="B64" s="178"/>
      <c r="C64" s="175"/>
      <c r="D64" s="180">
        <f t="shared" si="9"/>
        <v>0</v>
      </c>
      <c r="E64" s="4"/>
      <c r="F64" s="5"/>
      <c r="G64" s="4"/>
      <c r="H64" s="5"/>
      <c r="I64" s="124"/>
      <c r="J64" s="127"/>
      <c r="K64" s="132"/>
      <c r="L64" s="14"/>
      <c r="M64" s="25">
        <f t="shared" si="1"/>
        <v>0</v>
      </c>
      <c r="N64" s="140">
        <f t="shared" si="2"/>
        <v>0</v>
      </c>
      <c r="O64" s="143"/>
      <c r="AA64" s="101">
        <f t="shared" si="3"/>
        <v>0</v>
      </c>
      <c r="AB64" s="40">
        <f t="shared" si="4"/>
        <v>0</v>
      </c>
      <c r="AC64" s="40">
        <f t="shared" si="5"/>
        <v>0</v>
      </c>
      <c r="AD64" s="40">
        <f t="shared" si="6"/>
        <v>0</v>
      </c>
      <c r="AE64" s="40">
        <f t="shared" si="7"/>
        <v>0</v>
      </c>
      <c r="AF64" s="102">
        <f t="shared" si="8"/>
        <v>0</v>
      </c>
    </row>
    <row r="65" spans="1:32" x14ac:dyDescent="0.25">
      <c r="A65" s="181"/>
      <c r="B65" s="178"/>
      <c r="C65" s="175"/>
      <c r="D65" s="180">
        <f t="shared" si="9"/>
        <v>0</v>
      </c>
      <c r="E65" s="4"/>
      <c r="F65" s="5"/>
      <c r="G65" s="4"/>
      <c r="H65" s="5"/>
      <c r="I65" s="124"/>
      <c r="J65" s="127"/>
      <c r="K65" s="132"/>
      <c r="L65" s="14"/>
      <c r="M65" s="25">
        <f t="shared" si="1"/>
        <v>0</v>
      </c>
      <c r="N65" s="140">
        <f t="shared" si="2"/>
        <v>0</v>
      </c>
      <c r="O65" s="143"/>
      <c r="AA65" s="101">
        <f t="shared" si="3"/>
        <v>0</v>
      </c>
      <c r="AB65" s="40">
        <f t="shared" si="4"/>
        <v>0</v>
      </c>
      <c r="AC65" s="40">
        <f t="shared" si="5"/>
        <v>0</v>
      </c>
      <c r="AD65" s="40">
        <f t="shared" si="6"/>
        <v>0</v>
      </c>
      <c r="AE65" s="40">
        <f t="shared" si="7"/>
        <v>0</v>
      </c>
      <c r="AF65" s="102">
        <f t="shared" si="8"/>
        <v>0</v>
      </c>
    </row>
    <row r="66" spans="1:32" x14ac:dyDescent="0.25">
      <c r="A66" s="181"/>
      <c r="B66" s="178"/>
      <c r="C66" s="175"/>
      <c r="D66" s="180">
        <f t="shared" si="9"/>
        <v>0</v>
      </c>
      <c r="E66" s="4"/>
      <c r="F66" s="5"/>
      <c r="G66" s="4"/>
      <c r="H66" s="5"/>
      <c r="I66" s="124"/>
      <c r="J66" s="127"/>
      <c r="K66" s="132"/>
      <c r="L66" s="14"/>
      <c r="M66" s="25">
        <f t="shared" si="1"/>
        <v>0</v>
      </c>
      <c r="N66" s="140">
        <f t="shared" si="2"/>
        <v>0</v>
      </c>
      <c r="O66" s="143"/>
      <c r="AA66" s="101">
        <f t="shared" si="3"/>
        <v>0</v>
      </c>
      <c r="AB66" s="40">
        <f t="shared" si="4"/>
        <v>0</v>
      </c>
      <c r="AC66" s="40">
        <f t="shared" si="5"/>
        <v>0</v>
      </c>
      <c r="AD66" s="40">
        <f t="shared" si="6"/>
        <v>0</v>
      </c>
      <c r="AE66" s="40">
        <f t="shared" si="7"/>
        <v>0</v>
      </c>
      <c r="AF66" s="102">
        <f t="shared" si="8"/>
        <v>0</v>
      </c>
    </row>
    <row r="67" spans="1:32" x14ac:dyDescent="0.25">
      <c r="A67" s="181"/>
      <c r="B67" s="178"/>
      <c r="C67" s="175"/>
      <c r="D67" s="180">
        <f t="shared" si="9"/>
        <v>0</v>
      </c>
      <c r="E67" s="4"/>
      <c r="F67" s="5"/>
      <c r="G67" s="4"/>
      <c r="H67" s="5"/>
      <c r="I67" s="124"/>
      <c r="J67" s="127"/>
      <c r="K67" s="132"/>
      <c r="L67" s="14"/>
      <c r="M67" s="25">
        <f t="shared" si="1"/>
        <v>0</v>
      </c>
      <c r="N67" s="140">
        <f t="shared" si="2"/>
        <v>0</v>
      </c>
      <c r="O67" s="143"/>
      <c r="AA67" s="101">
        <f t="shared" si="3"/>
        <v>0</v>
      </c>
      <c r="AB67" s="40">
        <f t="shared" si="4"/>
        <v>0</v>
      </c>
      <c r="AC67" s="40">
        <f t="shared" si="5"/>
        <v>0</v>
      </c>
      <c r="AD67" s="40">
        <f t="shared" si="6"/>
        <v>0</v>
      </c>
      <c r="AE67" s="40">
        <f t="shared" si="7"/>
        <v>0</v>
      </c>
      <c r="AF67" s="102">
        <f t="shared" si="8"/>
        <v>0</v>
      </c>
    </row>
    <row r="68" spans="1:32" x14ac:dyDescent="0.25">
      <c r="A68" s="181"/>
      <c r="B68" s="178"/>
      <c r="C68" s="175"/>
      <c r="D68" s="180">
        <f t="shared" si="9"/>
        <v>0</v>
      </c>
      <c r="E68" s="4"/>
      <c r="F68" s="5"/>
      <c r="G68" s="4"/>
      <c r="H68" s="5"/>
      <c r="I68" s="124"/>
      <c r="J68" s="127"/>
      <c r="K68" s="132"/>
      <c r="L68" s="14"/>
      <c r="M68" s="25">
        <f t="shared" si="1"/>
        <v>0</v>
      </c>
      <c r="N68" s="140">
        <f t="shared" si="2"/>
        <v>0</v>
      </c>
      <c r="O68" s="143"/>
      <c r="AA68" s="101">
        <f t="shared" si="3"/>
        <v>0</v>
      </c>
      <c r="AB68" s="40">
        <f t="shared" si="4"/>
        <v>0</v>
      </c>
      <c r="AC68" s="40">
        <f t="shared" si="5"/>
        <v>0</v>
      </c>
      <c r="AD68" s="40">
        <f t="shared" si="6"/>
        <v>0</v>
      </c>
      <c r="AE68" s="40">
        <f t="shared" si="7"/>
        <v>0</v>
      </c>
      <c r="AF68" s="102">
        <f t="shared" si="8"/>
        <v>0</v>
      </c>
    </row>
    <row r="69" spans="1:32" x14ac:dyDescent="0.25">
      <c r="A69" s="181"/>
      <c r="B69" s="178"/>
      <c r="C69" s="175"/>
      <c r="D69" s="180">
        <f t="shared" si="9"/>
        <v>0</v>
      </c>
      <c r="E69" s="4"/>
      <c r="F69" s="5"/>
      <c r="G69" s="4"/>
      <c r="H69" s="5"/>
      <c r="I69" s="124"/>
      <c r="J69" s="127"/>
      <c r="K69" s="132"/>
      <c r="L69" s="14"/>
      <c r="M69" s="25">
        <f t="shared" si="1"/>
        <v>0</v>
      </c>
      <c r="N69" s="140">
        <f t="shared" si="2"/>
        <v>0</v>
      </c>
      <c r="O69" s="143"/>
      <c r="AA69" s="101">
        <f t="shared" si="3"/>
        <v>0</v>
      </c>
      <c r="AB69" s="40">
        <f t="shared" si="4"/>
        <v>0</v>
      </c>
      <c r="AC69" s="40">
        <f t="shared" si="5"/>
        <v>0</v>
      </c>
      <c r="AD69" s="40">
        <f t="shared" si="6"/>
        <v>0</v>
      </c>
      <c r="AE69" s="40">
        <f t="shared" si="7"/>
        <v>0</v>
      </c>
      <c r="AF69" s="102">
        <f t="shared" si="8"/>
        <v>0</v>
      </c>
    </row>
    <row r="70" spans="1:32" ht="15.75" thickBot="1" x14ac:dyDescent="0.3">
      <c r="A70" s="182"/>
      <c r="B70" s="183"/>
      <c r="C70" s="184"/>
      <c r="D70" s="185">
        <f t="shared" si="9"/>
        <v>0</v>
      </c>
      <c r="E70" s="6"/>
      <c r="F70" s="7"/>
      <c r="G70" s="6"/>
      <c r="H70" s="7"/>
      <c r="I70" s="125"/>
      <c r="J70" s="128"/>
      <c r="K70" s="133"/>
      <c r="L70" s="15"/>
      <c r="M70" s="26">
        <f t="shared" si="1"/>
        <v>0</v>
      </c>
      <c r="N70" s="141">
        <f t="shared" si="2"/>
        <v>0</v>
      </c>
      <c r="O70" s="144"/>
      <c r="AA70" s="103">
        <f t="shared" si="3"/>
        <v>0</v>
      </c>
      <c r="AB70" s="104">
        <f t="shared" si="4"/>
        <v>0</v>
      </c>
      <c r="AC70" s="104">
        <f t="shared" si="5"/>
        <v>0</v>
      </c>
      <c r="AD70" s="104">
        <f t="shared" si="6"/>
        <v>0</v>
      </c>
      <c r="AE70" s="104">
        <f t="shared" si="7"/>
        <v>0</v>
      </c>
      <c r="AF70" s="105">
        <f t="shared" si="8"/>
        <v>0</v>
      </c>
    </row>
    <row r="71" spans="1:32" s="21" customFormat="1" ht="15.75" thickBot="1" x14ac:dyDescent="0.3">
      <c r="K71" s="134"/>
      <c r="Z71" s="32"/>
      <c r="AA71" s="32"/>
      <c r="AB71" s="32"/>
      <c r="AC71" s="32"/>
      <c r="AD71" s="32"/>
      <c r="AE71" s="32"/>
      <c r="AF71" s="32"/>
    </row>
    <row r="72" spans="1:32" ht="15.75" thickBot="1" x14ac:dyDescent="0.3">
      <c r="A72" t="s">
        <v>16</v>
      </c>
      <c r="E72" s="245" t="s">
        <v>10</v>
      </c>
      <c r="F72" s="246"/>
      <c r="G72" s="246"/>
      <c r="H72" s="246"/>
      <c r="I72" s="246"/>
      <c r="J72" s="246"/>
      <c r="K72" s="246"/>
      <c r="L72" s="247"/>
      <c r="M72" s="16">
        <f>SUM(M7:M70)</f>
        <v>0</v>
      </c>
      <c r="N72" s="16">
        <f>SUM(N7:N70)</f>
        <v>0</v>
      </c>
    </row>
    <row r="73" spans="1:32" ht="15.75" thickBot="1" x14ac:dyDescent="0.3">
      <c r="E73" s="245" t="s">
        <v>11</v>
      </c>
      <c r="F73" s="246"/>
      <c r="G73" s="246"/>
      <c r="H73" s="246"/>
      <c r="I73" s="246"/>
      <c r="J73" s="246"/>
      <c r="K73" s="246"/>
      <c r="L73" s="247"/>
      <c r="M73" s="17">
        <f>M72*1.15</f>
        <v>0</v>
      </c>
      <c r="N73" s="17">
        <f>N72*1.15</f>
        <v>0</v>
      </c>
    </row>
  </sheetData>
  <sortState ref="A7:L70">
    <sortCondition ref="A6"/>
  </sortState>
  <mergeCells count="12">
    <mergeCell ref="Q5:V5"/>
    <mergeCell ref="E72:L72"/>
    <mergeCell ref="E73:L73"/>
    <mergeCell ref="I5:J5"/>
    <mergeCell ref="O5:O6"/>
    <mergeCell ref="A4:O4"/>
    <mergeCell ref="B5:D5"/>
    <mergeCell ref="E5:F5"/>
    <mergeCell ref="L5:M5"/>
    <mergeCell ref="G5:H5"/>
    <mergeCell ref="K5:K6"/>
    <mergeCell ref="N5:N6"/>
  </mergeCells>
  <dataValidations count="1">
    <dataValidation type="list" allowBlank="1" showInputMessage="1" showErrorMessage="1" sqref="B7:B70">
      <formula1>$Z$2:$Z$26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learVM">
                <anchor moveWithCells="1" sizeWithCells="1">
                  <from>
                    <xdr:col>16</xdr:col>
                    <xdr:colOff>28575</xdr:colOff>
                    <xdr:row>0</xdr:row>
                    <xdr:rowOff>28575</xdr:rowOff>
                  </from>
                  <to>
                    <xdr:col>17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70C0"/>
  </sheetPr>
  <dimension ref="A1:AF73"/>
  <sheetViews>
    <sheetView workbookViewId="0">
      <pane ySplit="6" topLeftCell="A7" activePane="bottomLeft" state="frozen"/>
      <selection activeCell="K60" sqref="K60"/>
      <selection pane="bottomLeft" activeCell="K60" sqref="K60"/>
    </sheetView>
  </sheetViews>
  <sheetFormatPr defaultRowHeight="15" x14ac:dyDescent="0.25"/>
  <cols>
    <col min="1" max="1" width="9.7109375" bestFit="1" customWidth="1"/>
    <col min="2" max="2" width="20.7109375" customWidth="1"/>
    <col min="3" max="3" width="7.42578125" customWidth="1"/>
    <col min="4" max="4" width="11.7109375" customWidth="1"/>
    <col min="5" max="5" width="4.42578125" customWidth="1"/>
    <col min="6" max="6" width="6.42578125" customWidth="1"/>
    <col min="7" max="7" width="4.42578125" customWidth="1"/>
    <col min="8" max="8" width="6.140625" customWidth="1"/>
    <col min="9" max="9" width="4.42578125" customWidth="1"/>
    <col min="10" max="10" width="6.85546875" customWidth="1"/>
    <col min="11" max="11" width="8.5703125" customWidth="1"/>
    <col min="12" max="12" width="9.5703125" bestFit="1" customWidth="1"/>
    <col min="13" max="13" width="14.5703125" customWidth="1"/>
    <col min="14" max="14" width="16.140625" customWidth="1"/>
    <col min="15" max="15" width="11" customWidth="1"/>
    <col min="16" max="16" width="4.28515625" customWidth="1"/>
    <col min="17" max="17" width="3.42578125" customWidth="1"/>
    <col min="21" max="21" width="13.28515625" bestFit="1" customWidth="1"/>
    <col min="22" max="22" width="2.5703125" customWidth="1"/>
    <col min="26" max="26" width="19.85546875" style="22" customWidth="1"/>
    <col min="27" max="27" width="9.140625" style="22"/>
    <col min="28" max="28" width="12.28515625" style="22" bestFit="1" customWidth="1"/>
    <col min="29" max="29" width="12.28515625" style="22" customWidth="1"/>
    <col min="30" max="30" width="14" style="22" bestFit="1" customWidth="1"/>
    <col min="31" max="31" width="10.85546875" style="22" bestFit="1" customWidth="1"/>
    <col min="32" max="32" width="15.7109375" style="22" bestFit="1" customWidth="1"/>
  </cols>
  <sheetData>
    <row r="1" spans="1:32" x14ac:dyDescent="0.25">
      <c r="Q1" s="158"/>
      <c r="R1" s="158"/>
      <c r="Z1" s="23" t="s">
        <v>7</v>
      </c>
      <c r="AA1" s="23"/>
    </row>
    <row r="2" spans="1:32" x14ac:dyDescent="0.25">
      <c r="A2" s="10" t="s">
        <v>0</v>
      </c>
      <c r="Q2" s="158"/>
      <c r="R2" s="158"/>
      <c r="Z2" s="22" t="s">
        <v>19</v>
      </c>
    </row>
    <row r="3" spans="1:32" ht="15.75" thickBot="1" x14ac:dyDescent="0.3">
      <c r="A3" s="21">
        <f>SUM(C7:C70)</f>
        <v>0</v>
      </c>
      <c r="Q3" s="158"/>
      <c r="R3" s="158"/>
      <c r="Z3" s="22" t="s">
        <v>38</v>
      </c>
    </row>
    <row r="4" spans="1:32" ht="15.75" thickBot="1" x14ac:dyDescent="0.3">
      <c r="A4" s="249" t="s">
        <v>8</v>
      </c>
      <c r="B4" s="250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Z4" s="22" t="s">
        <v>39</v>
      </c>
    </row>
    <row r="5" spans="1:32" ht="15.75" thickBot="1" x14ac:dyDescent="0.3">
      <c r="A5" s="160"/>
      <c r="B5" s="235" t="s">
        <v>2</v>
      </c>
      <c r="C5" s="236"/>
      <c r="D5" s="237"/>
      <c r="E5" s="235" t="s">
        <v>9</v>
      </c>
      <c r="F5" s="237"/>
      <c r="G5" s="235" t="s">
        <v>12</v>
      </c>
      <c r="H5" s="237"/>
      <c r="I5" s="248" t="s">
        <v>148</v>
      </c>
      <c r="J5" s="248"/>
      <c r="K5" s="238" t="s">
        <v>160</v>
      </c>
      <c r="L5" s="235" t="s">
        <v>211</v>
      </c>
      <c r="M5" s="237"/>
      <c r="N5" s="240" t="s">
        <v>10</v>
      </c>
      <c r="O5" s="240" t="s">
        <v>210</v>
      </c>
      <c r="Q5" s="252" t="s">
        <v>8</v>
      </c>
      <c r="R5" s="253"/>
      <c r="S5" s="253"/>
      <c r="T5" s="253"/>
      <c r="U5" s="253"/>
      <c r="V5" s="254"/>
      <c r="Z5" s="22" t="s">
        <v>40</v>
      </c>
    </row>
    <row r="6" spans="1:32" ht="15.75" thickBot="1" x14ac:dyDescent="0.3">
      <c r="A6" s="159" t="s">
        <v>6</v>
      </c>
      <c r="B6" s="1" t="s">
        <v>7</v>
      </c>
      <c r="C6" s="19" t="s">
        <v>15</v>
      </c>
      <c r="D6" s="1" t="s">
        <v>3</v>
      </c>
      <c r="E6" s="18" t="s">
        <v>14</v>
      </c>
      <c r="F6" s="20" t="s">
        <v>13</v>
      </c>
      <c r="G6" s="121" t="s">
        <v>14</v>
      </c>
      <c r="H6" s="122" t="s">
        <v>13</v>
      </c>
      <c r="I6" s="19" t="s">
        <v>14</v>
      </c>
      <c r="J6" s="19" t="s">
        <v>13</v>
      </c>
      <c r="K6" s="239"/>
      <c r="L6" s="8" t="s">
        <v>4</v>
      </c>
      <c r="M6" s="9" t="s">
        <v>5</v>
      </c>
      <c r="N6" s="241"/>
      <c r="O6" s="241"/>
      <c r="Q6" s="48"/>
      <c r="R6" s="49"/>
      <c r="S6" s="49"/>
      <c r="T6" s="49"/>
      <c r="U6" s="49"/>
      <c r="V6" s="50"/>
      <c r="Z6" s="22" t="s">
        <v>41</v>
      </c>
      <c r="AA6" s="98" t="s">
        <v>147</v>
      </c>
      <c r="AB6" s="96" t="s">
        <v>146</v>
      </c>
      <c r="AC6" s="96" t="s">
        <v>149</v>
      </c>
      <c r="AD6" s="96" t="s">
        <v>150</v>
      </c>
      <c r="AE6" s="96" t="s">
        <v>88</v>
      </c>
      <c r="AF6" s="97" t="s">
        <v>89</v>
      </c>
    </row>
    <row r="7" spans="1:32" x14ac:dyDescent="0.25">
      <c r="A7" s="179"/>
      <c r="B7" s="171"/>
      <c r="C7" s="172"/>
      <c r="D7" s="173">
        <f t="shared" ref="D7:D38" si="0">L7+(E7*F7)+(G7*H7)+(I7*J7)</f>
        <v>0</v>
      </c>
      <c r="E7" s="2"/>
      <c r="F7" s="3"/>
      <c r="G7" s="2"/>
      <c r="H7" s="3"/>
      <c r="I7" s="123"/>
      <c r="J7" s="126"/>
      <c r="K7" s="129"/>
      <c r="L7" s="14"/>
      <c r="M7" s="25">
        <f t="shared" ref="M7:M70" si="1">L7*C7</f>
        <v>0</v>
      </c>
      <c r="N7" s="139">
        <f t="shared" ref="N7:N70" si="2">C7*D7</f>
        <v>0</v>
      </c>
      <c r="O7" s="142"/>
      <c r="Q7" s="51"/>
      <c r="R7" s="54" t="s">
        <v>90</v>
      </c>
      <c r="S7" s="55"/>
      <c r="T7" s="63"/>
      <c r="U7" s="56">
        <f>SUM(C7:C70)</f>
        <v>0</v>
      </c>
      <c r="V7" s="37"/>
      <c r="Z7" s="22" t="s">
        <v>42</v>
      </c>
      <c r="AA7" s="101">
        <f t="shared" ref="AA7:AA70" si="3">C7*E7</f>
        <v>0</v>
      </c>
      <c r="AB7" s="40">
        <f t="shared" ref="AB7:AB70" si="4">(C7*E7)*F7</f>
        <v>0</v>
      </c>
      <c r="AC7" s="40">
        <f t="shared" ref="AC7:AC70" si="5">C7*I7</f>
        <v>0</v>
      </c>
      <c r="AD7" s="40">
        <f t="shared" ref="AD7:AD70" si="6">(C7*I7)*J7</f>
        <v>0</v>
      </c>
      <c r="AE7" s="40">
        <f>C7*G7</f>
        <v>0</v>
      </c>
      <c r="AF7" s="102">
        <f>(C7*G7)*H7</f>
        <v>0</v>
      </c>
    </row>
    <row r="8" spans="1:32" ht="15.75" thickBot="1" x14ac:dyDescent="0.3">
      <c r="A8" s="179"/>
      <c r="B8" s="174"/>
      <c r="C8" s="175"/>
      <c r="D8" s="176">
        <f t="shared" si="0"/>
        <v>0</v>
      </c>
      <c r="E8" s="4"/>
      <c r="F8" s="5"/>
      <c r="G8" s="4"/>
      <c r="H8" s="5"/>
      <c r="I8" s="124"/>
      <c r="J8" s="127"/>
      <c r="K8" s="129"/>
      <c r="L8" s="14"/>
      <c r="M8" s="25">
        <f t="shared" si="1"/>
        <v>0</v>
      </c>
      <c r="N8" s="140">
        <f t="shared" si="2"/>
        <v>0</v>
      </c>
      <c r="O8" s="143"/>
      <c r="Q8" s="51"/>
      <c r="R8" s="57" t="s">
        <v>91</v>
      </c>
      <c r="S8" s="58"/>
      <c r="T8" s="64"/>
      <c r="U8" s="59">
        <f>SUM(M7:M70)</f>
        <v>0</v>
      </c>
      <c r="V8" s="37"/>
      <c r="Z8" s="22" t="s">
        <v>43</v>
      </c>
      <c r="AA8" s="101">
        <f t="shared" si="3"/>
        <v>0</v>
      </c>
      <c r="AB8" s="40">
        <f t="shared" si="4"/>
        <v>0</v>
      </c>
      <c r="AC8" s="40">
        <f t="shared" si="5"/>
        <v>0</v>
      </c>
      <c r="AD8" s="40">
        <f t="shared" si="6"/>
        <v>0</v>
      </c>
      <c r="AE8" s="40">
        <f t="shared" ref="AE8:AE70" si="7">C8*G8</f>
        <v>0</v>
      </c>
      <c r="AF8" s="102">
        <f t="shared" ref="AF8:AF70" si="8">(C8*G8)*H8</f>
        <v>0</v>
      </c>
    </row>
    <row r="9" spans="1:32" ht="15.75" thickBot="1" x14ac:dyDescent="0.3">
      <c r="A9" s="179"/>
      <c r="B9" s="177"/>
      <c r="C9" s="175"/>
      <c r="D9" s="176">
        <f t="shared" si="0"/>
        <v>0</v>
      </c>
      <c r="E9" s="4"/>
      <c r="F9" s="5"/>
      <c r="G9" s="4"/>
      <c r="H9" s="5"/>
      <c r="I9" s="124"/>
      <c r="J9" s="127"/>
      <c r="K9" s="129"/>
      <c r="L9" s="14"/>
      <c r="M9" s="25">
        <f t="shared" si="1"/>
        <v>0</v>
      </c>
      <c r="N9" s="140">
        <f t="shared" si="2"/>
        <v>0</v>
      </c>
      <c r="O9" s="143"/>
      <c r="Q9" s="51"/>
      <c r="R9" s="52"/>
      <c r="S9" s="36"/>
      <c r="T9" s="36"/>
      <c r="U9" s="36"/>
      <c r="V9" s="37"/>
      <c r="Z9" s="22" t="s">
        <v>44</v>
      </c>
      <c r="AA9" s="101">
        <f t="shared" si="3"/>
        <v>0</v>
      </c>
      <c r="AB9" s="40">
        <f t="shared" si="4"/>
        <v>0</v>
      </c>
      <c r="AC9" s="40">
        <f t="shared" si="5"/>
        <v>0</v>
      </c>
      <c r="AD9" s="40">
        <f t="shared" si="6"/>
        <v>0</v>
      </c>
      <c r="AE9" s="40">
        <f t="shared" si="7"/>
        <v>0</v>
      </c>
      <c r="AF9" s="102">
        <f t="shared" si="8"/>
        <v>0</v>
      </c>
    </row>
    <row r="10" spans="1:32" x14ac:dyDescent="0.25">
      <c r="A10" s="179"/>
      <c r="B10" s="178"/>
      <c r="C10" s="175"/>
      <c r="D10" s="176">
        <f t="shared" si="0"/>
        <v>0</v>
      </c>
      <c r="E10" s="4"/>
      <c r="F10" s="5"/>
      <c r="G10" s="4"/>
      <c r="H10" s="5"/>
      <c r="I10" s="124"/>
      <c r="J10" s="127"/>
      <c r="K10" s="129"/>
      <c r="L10" s="14"/>
      <c r="M10" s="25">
        <f t="shared" si="1"/>
        <v>0</v>
      </c>
      <c r="N10" s="140">
        <f t="shared" si="2"/>
        <v>0</v>
      </c>
      <c r="O10" s="143"/>
      <c r="Q10" s="51"/>
      <c r="R10" s="54" t="s">
        <v>86</v>
      </c>
      <c r="S10" s="55"/>
      <c r="T10" s="63"/>
      <c r="U10" s="56">
        <f>SUM(AA:AA)</f>
        <v>0</v>
      </c>
      <c r="V10" s="37"/>
      <c r="Z10" s="22" t="s">
        <v>45</v>
      </c>
      <c r="AA10" s="101">
        <f t="shared" si="3"/>
        <v>0</v>
      </c>
      <c r="AB10" s="40">
        <f t="shared" si="4"/>
        <v>0</v>
      </c>
      <c r="AC10" s="40">
        <f t="shared" si="5"/>
        <v>0</v>
      </c>
      <c r="AD10" s="40">
        <f t="shared" si="6"/>
        <v>0</v>
      </c>
      <c r="AE10" s="40">
        <f t="shared" si="7"/>
        <v>0</v>
      </c>
      <c r="AF10" s="102">
        <f t="shared" si="8"/>
        <v>0</v>
      </c>
    </row>
    <row r="11" spans="1:32" ht="15.75" thickBot="1" x14ac:dyDescent="0.3">
      <c r="A11" s="179"/>
      <c r="B11" s="178"/>
      <c r="C11" s="175"/>
      <c r="D11" s="176">
        <f t="shared" si="0"/>
        <v>0</v>
      </c>
      <c r="E11" s="4"/>
      <c r="F11" s="5"/>
      <c r="G11" s="4"/>
      <c r="H11" s="5"/>
      <c r="I11" s="124"/>
      <c r="J11" s="127"/>
      <c r="K11" s="129"/>
      <c r="L11" s="14"/>
      <c r="M11" s="25">
        <f t="shared" si="1"/>
        <v>0</v>
      </c>
      <c r="N11" s="140">
        <f t="shared" si="2"/>
        <v>0</v>
      </c>
      <c r="O11" s="143"/>
      <c r="Q11" s="51"/>
      <c r="R11" s="57" t="s">
        <v>87</v>
      </c>
      <c r="S11" s="58"/>
      <c r="T11" s="64"/>
      <c r="U11" s="59">
        <f>SUM(AB:AB)</f>
        <v>0</v>
      </c>
      <c r="V11" s="37"/>
      <c r="Z11" s="22" t="s">
        <v>46</v>
      </c>
      <c r="AA11" s="101">
        <f t="shared" si="3"/>
        <v>0</v>
      </c>
      <c r="AB11" s="40">
        <f t="shared" si="4"/>
        <v>0</v>
      </c>
      <c r="AC11" s="40">
        <f t="shared" si="5"/>
        <v>0</v>
      </c>
      <c r="AD11" s="40">
        <f t="shared" si="6"/>
        <v>0</v>
      </c>
      <c r="AE11" s="40">
        <f t="shared" si="7"/>
        <v>0</v>
      </c>
      <c r="AF11" s="102">
        <f t="shared" si="8"/>
        <v>0</v>
      </c>
    </row>
    <row r="12" spans="1:32" ht="15.75" thickBot="1" x14ac:dyDescent="0.3">
      <c r="A12" s="179"/>
      <c r="B12" s="178"/>
      <c r="C12" s="175"/>
      <c r="D12" s="176">
        <f t="shared" si="0"/>
        <v>0</v>
      </c>
      <c r="E12" s="4"/>
      <c r="F12" s="5"/>
      <c r="G12" s="4"/>
      <c r="H12" s="5"/>
      <c r="I12" s="124"/>
      <c r="J12" s="127"/>
      <c r="K12" s="129"/>
      <c r="L12" s="14"/>
      <c r="M12" s="25">
        <f t="shared" si="1"/>
        <v>0</v>
      </c>
      <c r="N12" s="140">
        <f t="shared" si="2"/>
        <v>0</v>
      </c>
      <c r="O12" s="143"/>
      <c r="Q12" s="51"/>
      <c r="R12" s="52"/>
      <c r="S12" s="36"/>
      <c r="T12" s="36"/>
      <c r="U12" s="36"/>
      <c r="V12" s="37"/>
      <c r="Z12" s="22" t="s">
        <v>47</v>
      </c>
      <c r="AA12" s="101">
        <f t="shared" si="3"/>
        <v>0</v>
      </c>
      <c r="AB12" s="40">
        <f t="shared" si="4"/>
        <v>0</v>
      </c>
      <c r="AC12" s="40">
        <f t="shared" si="5"/>
        <v>0</v>
      </c>
      <c r="AD12" s="40">
        <f t="shared" si="6"/>
        <v>0</v>
      </c>
      <c r="AE12" s="40">
        <f t="shared" si="7"/>
        <v>0</v>
      </c>
      <c r="AF12" s="102">
        <f t="shared" si="8"/>
        <v>0</v>
      </c>
    </row>
    <row r="13" spans="1:32" x14ac:dyDescent="0.25">
      <c r="A13" s="179"/>
      <c r="B13" s="178"/>
      <c r="C13" s="175"/>
      <c r="D13" s="176">
        <f t="shared" si="0"/>
        <v>0</v>
      </c>
      <c r="E13" s="4"/>
      <c r="F13" s="5"/>
      <c r="G13" s="4"/>
      <c r="H13" s="5"/>
      <c r="I13" s="124"/>
      <c r="J13" s="127"/>
      <c r="K13" s="129"/>
      <c r="L13" s="14"/>
      <c r="M13" s="25">
        <f t="shared" si="1"/>
        <v>0</v>
      </c>
      <c r="N13" s="140">
        <f t="shared" si="2"/>
        <v>0</v>
      </c>
      <c r="O13" s="143"/>
      <c r="Q13" s="51"/>
      <c r="R13" s="54" t="s">
        <v>88</v>
      </c>
      <c r="S13" s="55"/>
      <c r="T13" s="63"/>
      <c r="U13" s="56">
        <f>SUM(AE:AE)</f>
        <v>0</v>
      </c>
      <c r="V13" s="37"/>
      <c r="Z13" s="22" t="s">
        <v>48</v>
      </c>
      <c r="AA13" s="101">
        <f t="shared" si="3"/>
        <v>0</v>
      </c>
      <c r="AB13" s="40">
        <f t="shared" si="4"/>
        <v>0</v>
      </c>
      <c r="AC13" s="40">
        <f t="shared" si="5"/>
        <v>0</v>
      </c>
      <c r="AD13" s="40">
        <f t="shared" si="6"/>
        <v>0</v>
      </c>
      <c r="AE13" s="40">
        <f t="shared" si="7"/>
        <v>0</v>
      </c>
      <c r="AF13" s="102">
        <f t="shared" si="8"/>
        <v>0</v>
      </c>
    </row>
    <row r="14" spans="1:32" ht="15.75" thickBot="1" x14ac:dyDescent="0.3">
      <c r="A14" s="170"/>
      <c r="B14" s="178"/>
      <c r="C14" s="175"/>
      <c r="D14" s="176">
        <f t="shared" si="0"/>
        <v>0</v>
      </c>
      <c r="E14" s="4"/>
      <c r="F14" s="5"/>
      <c r="G14" s="4"/>
      <c r="H14" s="5"/>
      <c r="I14" s="124"/>
      <c r="J14" s="127"/>
      <c r="K14" s="129"/>
      <c r="L14" s="14"/>
      <c r="M14" s="25">
        <f t="shared" si="1"/>
        <v>0</v>
      </c>
      <c r="N14" s="140">
        <f t="shared" si="2"/>
        <v>0</v>
      </c>
      <c r="O14" s="143"/>
      <c r="Q14" s="51"/>
      <c r="R14" s="57" t="s">
        <v>89</v>
      </c>
      <c r="S14" s="58"/>
      <c r="T14" s="64"/>
      <c r="U14" s="59">
        <f>SUM(AF:AF)</f>
        <v>0</v>
      </c>
      <c r="V14" s="37"/>
      <c r="Z14" s="22" t="s">
        <v>49</v>
      </c>
      <c r="AA14" s="101">
        <f t="shared" si="3"/>
        <v>0</v>
      </c>
      <c r="AB14" s="40">
        <f t="shared" si="4"/>
        <v>0</v>
      </c>
      <c r="AC14" s="40">
        <f t="shared" si="5"/>
        <v>0</v>
      </c>
      <c r="AD14" s="40">
        <f t="shared" si="6"/>
        <v>0</v>
      </c>
      <c r="AE14" s="40">
        <f t="shared" si="7"/>
        <v>0</v>
      </c>
      <c r="AF14" s="102">
        <f t="shared" si="8"/>
        <v>0</v>
      </c>
    </row>
    <row r="15" spans="1:32" ht="15.75" thickBot="1" x14ac:dyDescent="0.3">
      <c r="A15" s="179"/>
      <c r="B15" s="178"/>
      <c r="C15" s="175"/>
      <c r="D15" s="176">
        <f t="shared" si="0"/>
        <v>0</v>
      </c>
      <c r="E15" s="4"/>
      <c r="F15" s="5"/>
      <c r="G15" s="4"/>
      <c r="H15" s="5"/>
      <c r="I15" s="124"/>
      <c r="J15" s="127"/>
      <c r="K15" s="129"/>
      <c r="L15" s="14"/>
      <c r="M15" s="25">
        <f t="shared" si="1"/>
        <v>0</v>
      </c>
      <c r="N15" s="140">
        <f t="shared" si="2"/>
        <v>0</v>
      </c>
      <c r="O15" s="143"/>
      <c r="Q15" s="51"/>
      <c r="R15" s="52"/>
      <c r="S15" s="36"/>
      <c r="T15" s="36"/>
      <c r="U15" s="36"/>
      <c r="V15" s="37"/>
      <c r="Z15" s="22" t="s">
        <v>50</v>
      </c>
      <c r="AA15" s="101">
        <f t="shared" si="3"/>
        <v>0</v>
      </c>
      <c r="AB15" s="40">
        <f t="shared" si="4"/>
        <v>0</v>
      </c>
      <c r="AC15" s="40">
        <f t="shared" si="5"/>
        <v>0</v>
      </c>
      <c r="AD15" s="40">
        <f t="shared" si="6"/>
        <v>0</v>
      </c>
      <c r="AE15" s="40">
        <f t="shared" si="7"/>
        <v>0</v>
      </c>
      <c r="AF15" s="102">
        <f t="shared" si="8"/>
        <v>0</v>
      </c>
    </row>
    <row r="16" spans="1:32" x14ac:dyDescent="0.25">
      <c r="A16" s="179"/>
      <c r="B16" s="178"/>
      <c r="C16" s="175"/>
      <c r="D16" s="180">
        <f t="shared" si="0"/>
        <v>0</v>
      </c>
      <c r="E16" s="4"/>
      <c r="F16" s="5"/>
      <c r="G16" s="4"/>
      <c r="H16" s="5"/>
      <c r="I16" s="124"/>
      <c r="J16" s="127"/>
      <c r="K16" s="129"/>
      <c r="L16" s="14"/>
      <c r="M16" s="25">
        <f t="shared" si="1"/>
        <v>0</v>
      </c>
      <c r="N16" s="140">
        <f t="shared" si="2"/>
        <v>0</v>
      </c>
      <c r="O16" s="143"/>
      <c r="Q16" s="51"/>
      <c r="R16" s="54" t="str">
        <f>I5 &amp; " pax"</f>
        <v>Eiffel Tower pax</v>
      </c>
      <c r="S16" s="55"/>
      <c r="T16" s="63"/>
      <c r="U16" s="56">
        <f>SUM(AC:AC)</f>
        <v>0</v>
      </c>
      <c r="V16" s="37"/>
      <c r="Z16" s="22" t="s">
        <v>51</v>
      </c>
      <c r="AA16" s="101">
        <f t="shared" si="3"/>
        <v>0</v>
      </c>
      <c r="AB16" s="40">
        <f t="shared" si="4"/>
        <v>0</v>
      </c>
      <c r="AC16" s="40">
        <f t="shared" si="5"/>
        <v>0</v>
      </c>
      <c r="AD16" s="40">
        <f t="shared" si="6"/>
        <v>0</v>
      </c>
      <c r="AE16" s="40">
        <f t="shared" si="7"/>
        <v>0</v>
      </c>
      <c r="AF16" s="102">
        <f t="shared" si="8"/>
        <v>0</v>
      </c>
    </row>
    <row r="17" spans="1:32" x14ac:dyDescent="0.25">
      <c r="A17" s="179"/>
      <c r="B17" s="178"/>
      <c r="C17" s="175"/>
      <c r="D17" s="180">
        <f t="shared" si="0"/>
        <v>0</v>
      </c>
      <c r="E17" s="4"/>
      <c r="F17" s="5"/>
      <c r="G17" s="4"/>
      <c r="H17" s="5"/>
      <c r="I17" s="124"/>
      <c r="J17" s="127"/>
      <c r="K17" s="129"/>
      <c r="L17" s="14"/>
      <c r="M17" s="25">
        <f t="shared" si="1"/>
        <v>0</v>
      </c>
      <c r="N17" s="140">
        <f t="shared" si="2"/>
        <v>0</v>
      </c>
      <c r="O17" s="143"/>
      <c r="Q17" s="51"/>
      <c r="R17" s="60" t="str">
        <f>I5 &amp; " Revenue"</f>
        <v>Eiffel Tower Revenue</v>
      </c>
      <c r="S17" s="61"/>
      <c r="T17" s="65"/>
      <c r="U17" s="62">
        <f>SUM(AD:AD)</f>
        <v>0</v>
      </c>
      <c r="V17" s="37"/>
      <c r="Z17" s="22" t="s">
        <v>52</v>
      </c>
      <c r="AA17" s="101">
        <f t="shared" si="3"/>
        <v>0</v>
      </c>
      <c r="AB17" s="40">
        <f t="shared" si="4"/>
        <v>0</v>
      </c>
      <c r="AC17" s="40">
        <f t="shared" si="5"/>
        <v>0</v>
      </c>
      <c r="AD17" s="40">
        <f t="shared" si="6"/>
        <v>0</v>
      </c>
      <c r="AE17" s="40">
        <f t="shared" si="7"/>
        <v>0</v>
      </c>
      <c r="AF17" s="102">
        <f t="shared" si="8"/>
        <v>0</v>
      </c>
    </row>
    <row r="18" spans="1:32" ht="15.75" thickBot="1" x14ac:dyDescent="0.3">
      <c r="A18" s="179"/>
      <c r="B18" s="178"/>
      <c r="C18" s="175"/>
      <c r="D18" s="180">
        <f t="shared" si="0"/>
        <v>0</v>
      </c>
      <c r="E18" s="4"/>
      <c r="F18" s="5"/>
      <c r="G18" s="4"/>
      <c r="H18" s="5"/>
      <c r="I18" s="124"/>
      <c r="J18" s="127"/>
      <c r="K18" s="129"/>
      <c r="L18" s="14"/>
      <c r="M18" s="25">
        <f t="shared" si="1"/>
        <v>0</v>
      </c>
      <c r="N18" s="140">
        <f t="shared" si="2"/>
        <v>0</v>
      </c>
      <c r="O18" s="143"/>
      <c r="Q18" s="51"/>
      <c r="R18" s="52"/>
      <c r="S18" s="36"/>
      <c r="T18" s="36"/>
      <c r="U18" s="36"/>
      <c r="V18" s="37"/>
      <c r="AA18" s="101">
        <f t="shared" si="3"/>
        <v>0</v>
      </c>
      <c r="AB18" s="40">
        <f t="shared" si="4"/>
        <v>0</v>
      </c>
      <c r="AC18" s="40">
        <f t="shared" si="5"/>
        <v>0</v>
      </c>
      <c r="AD18" s="40">
        <f t="shared" si="6"/>
        <v>0</v>
      </c>
      <c r="AE18" s="40">
        <f t="shared" si="7"/>
        <v>0</v>
      </c>
      <c r="AF18" s="102">
        <f t="shared" si="8"/>
        <v>0</v>
      </c>
    </row>
    <row r="19" spans="1:32" x14ac:dyDescent="0.25">
      <c r="A19" s="179"/>
      <c r="B19" s="178"/>
      <c r="C19" s="175"/>
      <c r="D19" s="180">
        <f t="shared" si="0"/>
        <v>0</v>
      </c>
      <c r="E19" s="4"/>
      <c r="F19" s="5"/>
      <c r="G19" s="4"/>
      <c r="H19" s="5"/>
      <c r="I19" s="124"/>
      <c r="J19" s="127"/>
      <c r="K19" s="129"/>
      <c r="L19" s="14"/>
      <c r="M19" s="25">
        <f t="shared" si="1"/>
        <v>0</v>
      </c>
      <c r="N19" s="140">
        <f t="shared" si="2"/>
        <v>0</v>
      </c>
      <c r="O19" s="143"/>
      <c r="Q19" s="51"/>
      <c r="R19" s="54" t="s">
        <v>85</v>
      </c>
      <c r="S19" s="55"/>
      <c r="T19" s="63"/>
      <c r="U19" s="56">
        <f>SUM(C7:C70)</f>
        <v>0</v>
      </c>
      <c r="V19" s="37"/>
      <c r="AA19" s="101">
        <f t="shared" si="3"/>
        <v>0</v>
      </c>
      <c r="AB19" s="40">
        <f t="shared" si="4"/>
        <v>0</v>
      </c>
      <c r="AC19" s="40">
        <f t="shared" si="5"/>
        <v>0</v>
      </c>
      <c r="AD19" s="40">
        <f t="shared" si="6"/>
        <v>0</v>
      </c>
      <c r="AE19" s="40">
        <f t="shared" si="7"/>
        <v>0</v>
      </c>
      <c r="AF19" s="102">
        <f t="shared" si="8"/>
        <v>0</v>
      </c>
    </row>
    <row r="20" spans="1:32" x14ac:dyDescent="0.25">
      <c r="A20" s="179"/>
      <c r="B20" s="178"/>
      <c r="C20" s="175"/>
      <c r="D20" s="180">
        <f t="shared" si="0"/>
        <v>0</v>
      </c>
      <c r="E20" s="4"/>
      <c r="F20" s="5"/>
      <c r="G20" s="4"/>
      <c r="H20" s="5"/>
      <c r="I20" s="124"/>
      <c r="J20" s="127"/>
      <c r="K20" s="129"/>
      <c r="L20" s="14"/>
      <c r="M20" s="25">
        <f t="shared" si="1"/>
        <v>0</v>
      </c>
      <c r="N20" s="140">
        <f t="shared" si="2"/>
        <v>0</v>
      </c>
      <c r="O20" s="143"/>
      <c r="Q20" s="135"/>
      <c r="R20" s="60" t="s">
        <v>84</v>
      </c>
      <c r="S20" s="61"/>
      <c r="T20" s="65"/>
      <c r="U20" s="62">
        <f>SUM(N7:N70)</f>
        <v>0</v>
      </c>
      <c r="V20" s="135"/>
      <c r="AA20" s="101">
        <f t="shared" si="3"/>
        <v>0</v>
      </c>
      <c r="AB20" s="40">
        <f t="shared" si="4"/>
        <v>0</v>
      </c>
      <c r="AC20" s="40">
        <f t="shared" si="5"/>
        <v>0</v>
      </c>
      <c r="AD20" s="40">
        <f t="shared" si="6"/>
        <v>0</v>
      </c>
      <c r="AE20" s="40">
        <f t="shared" si="7"/>
        <v>0</v>
      </c>
      <c r="AF20" s="102">
        <f t="shared" si="8"/>
        <v>0</v>
      </c>
    </row>
    <row r="21" spans="1:32" ht="15.75" thickBot="1" x14ac:dyDescent="0.3">
      <c r="A21" s="179"/>
      <c r="B21" s="178"/>
      <c r="C21" s="175"/>
      <c r="D21" s="180">
        <f t="shared" si="0"/>
        <v>0</v>
      </c>
      <c r="E21" s="4"/>
      <c r="F21" s="5"/>
      <c r="G21" s="4"/>
      <c r="H21" s="5"/>
      <c r="I21" s="124"/>
      <c r="J21" s="127"/>
      <c r="K21" s="129"/>
      <c r="L21" s="14"/>
      <c r="M21" s="25">
        <f t="shared" si="1"/>
        <v>0</v>
      </c>
      <c r="N21" s="140">
        <f t="shared" si="2"/>
        <v>0</v>
      </c>
      <c r="O21" s="143"/>
      <c r="Q21" s="51"/>
      <c r="R21" s="57" t="s">
        <v>92</v>
      </c>
      <c r="S21" s="58"/>
      <c r="T21" s="64"/>
      <c r="U21" s="59">
        <f>U20*1.15</f>
        <v>0</v>
      </c>
      <c r="V21" s="37"/>
      <c r="AA21" s="101">
        <f t="shared" si="3"/>
        <v>0</v>
      </c>
      <c r="AB21" s="40">
        <f t="shared" si="4"/>
        <v>0</v>
      </c>
      <c r="AC21" s="40">
        <f t="shared" si="5"/>
        <v>0</v>
      </c>
      <c r="AD21" s="40">
        <f t="shared" si="6"/>
        <v>0</v>
      </c>
      <c r="AE21" s="40">
        <f t="shared" si="7"/>
        <v>0</v>
      </c>
      <c r="AF21" s="102">
        <f t="shared" si="8"/>
        <v>0</v>
      </c>
    </row>
    <row r="22" spans="1:32" ht="15.75" thickBot="1" x14ac:dyDescent="0.3">
      <c r="A22" s="179"/>
      <c r="B22" s="178"/>
      <c r="C22" s="175"/>
      <c r="D22" s="180">
        <f t="shared" si="0"/>
        <v>0</v>
      </c>
      <c r="E22" s="4"/>
      <c r="F22" s="5"/>
      <c r="G22" s="4"/>
      <c r="H22" s="5"/>
      <c r="I22" s="124"/>
      <c r="J22" s="127"/>
      <c r="K22" s="129"/>
      <c r="L22" s="14"/>
      <c r="M22" s="25">
        <f t="shared" si="1"/>
        <v>0</v>
      </c>
      <c r="N22" s="140">
        <f t="shared" si="2"/>
        <v>0</v>
      </c>
      <c r="O22" s="143"/>
      <c r="Q22" s="53"/>
      <c r="R22" s="38"/>
      <c r="S22" s="38"/>
      <c r="T22" s="38"/>
      <c r="U22" s="38"/>
      <c r="V22" s="39"/>
      <c r="AA22" s="101">
        <f t="shared" si="3"/>
        <v>0</v>
      </c>
      <c r="AB22" s="40">
        <f t="shared" si="4"/>
        <v>0</v>
      </c>
      <c r="AC22" s="40">
        <f t="shared" si="5"/>
        <v>0</v>
      </c>
      <c r="AD22" s="40">
        <f t="shared" si="6"/>
        <v>0</v>
      </c>
      <c r="AE22" s="40">
        <f t="shared" si="7"/>
        <v>0</v>
      </c>
      <c r="AF22" s="102">
        <f t="shared" si="8"/>
        <v>0</v>
      </c>
    </row>
    <row r="23" spans="1:32" x14ac:dyDescent="0.25">
      <c r="A23" s="179"/>
      <c r="B23" s="178"/>
      <c r="C23" s="175"/>
      <c r="D23" s="180">
        <f t="shared" si="0"/>
        <v>0</v>
      </c>
      <c r="E23" s="4"/>
      <c r="F23" s="5"/>
      <c r="G23" s="4"/>
      <c r="H23" s="5"/>
      <c r="I23" s="124"/>
      <c r="J23" s="127"/>
      <c r="K23" s="129"/>
      <c r="L23" s="14"/>
      <c r="M23" s="25">
        <f t="shared" si="1"/>
        <v>0</v>
      </c>
      <c r="N23" s="140">
        <f t="shared" si="2"/>
        <v>0</v>
      </c>
      <c r="O23" s="143"/>
      <c r="AA23" s="101">
        <f t="shared" si="3"/>
        <v>0</v>
      </c>
      <c r="AB23" s="40">
        <f t="shared" si="4"/>
        <v>0</v>
      </c>
      <c r="AC23" s="40">
        <f t="shared" si="5"/>
        <v>0</v>
      </c>
      <c r="AD23" s="40">
        <f t="shared" si="6"/>
        <v>0</v>
      </c>
      <c r="AE23" s="40">
        <f t="shared" si="7"/>
        <v>0</v>
      </c>
      <c r="AF23" s="102">
        <f t="shared" si="8"/>
        <v>0</v>
      </c>
    </row>
    <row r="24" spans="1:32" x14ac:dyDescent="0.25">
      <c r="A24" s="179"/>
      <c r="B24" s="178"/>
      <c r="C24" s="175"/>
      <c r="D24" s="176">
        <f t="shared" si="0"/>
        <v>0</v>
      </c>
      <c r="E24" s="4"/>
      <c r="F24" s="5"/>
      <c r="G24" s="4"/>
      <c r="H24" s="5"/>
      <c r="I24" s="124"/>
      <c r="J24" s="127"/>
      <c r="K24" s="129"/>
      <c r="L24" s="14"/>
      <c r="M24" s="25">
        <f t="shared" si="1"/>
        <v>0</v>
      </c>
      <c r="N24" s="140">
        <f t="shared" si="2"/>
        <v>0</v>
      </c>
      <c r="O24" s="143"/>
      <c r="AA24" s="101">
        <f t="shared" si="3"/>
        <v>0</v>
      </c>
      <c r="AB24" s="40">
        <f t="shared" si="4"/>
        <v>0</v>
      </c>
      <c r="AC24" s="40">
        <f t="shared" si="5"/>
        <v>0</v>
      </c>
      <c r="AD24" s="40">
        <f t="shared" si="6"/>
        <v>0</v>
      </c>
      <c r="AE24" s="40">
        <f t="shared" si="7"/>
        <v>0</v>
      </c>
      <c r="AF24" s="102">
        <f t="shared" si="8"/>
        <v>0</v>
      </c>
    </row>
    <row r="25" spans="1:32" x14ac:dyDescent="0.25">
      <c r="A25" s="179"/>
      <c r="B25" s="178"/>
      <c r="C25" s="175"/>
      <c r="D25" s="180">
        <f t="shared" si="0"/>
        <v>0</v>
      </c>
      <c r="E25" s="4"/>
      <c r="F25" s="5"/>
      <c r="G25" s="4"/>
      <c r="H25" s="5"/>
      <c r="I25" s="124"/>
      <c r="J25" s="127"/>
      <c r="K25" s="129"/>
      <c r="L25" s="14"/>
      <c r="M25" s="25">
        <f t="shared" si="1"/>
        <v>0</v>
      </c>
      <c r="N25" s="140">
        <f t="shared" si="2"/>
        <v>0</v>
      </c>
      <c r="O25" s="143"/>
      <c r="AA25" s="101">
        <f t="shared" si="3"/>
        <v>0</v>
      </c>
      <c r="AB25" s="40">
        <f t="shared" si="4"/>
        <v>0</v>
      </c>
      <c r="AC25" s="40">
        <f t="shared" si="5"/>
        <v>0</v>
      </c>
      <c r="AD25" s="40">
        <f t="shared" si="6"/>
        <v>0</v>
      </c>
      <c r="AE25" s="40">
        <f t="shared" si="7"/>
        <v>0</v>
      </c>
      <c r="AF25" s="102">
        <f t="shared" si="8"/>
        <v>0</v>
      </c>
    </row>
    <row r="26" spans="1:32" x14ac:dyDescent="0.25">
      <c r="A26" s="179"/>
      <c r="B26" s="178"/>
      <c r="C26" s="175"/>
      <c r="D26" s="180">
        <f t="shared" si="0"/>
        <v>0</v>
      </c>
      <c r="E26" s="4"/>
      <c r="F26" s="5"/>
      <c r="G26" s="4"/>
      <c r="H26" s="5"/>
      <c r="I26" s="124"/>
      <c r="J26" s="127"/>
      <c r="K26" s="129"/>
      <c r="L26" s="14"/>
      <c r="M26" s="25">
        <f t="shared" si="1"/>
        <v>0</v>
      </c>
      <c r="N26" s="140">
        <f t="shared" si="2"/>
        <v>0</v>
      </c>
      <c r="O26" s="143"/>
      <c r="AA26" s="101">
        <f t="shared" si="3"/>
        <v>0</v>
      </c>
      <c r="AB26" s="40">
        <f t="shared" si="4"/>
        <v>0</v>
      </c>
      <c r="AC26" s="40">
        <f t="shared" si="5"/>
        <v>0</v>
      </c>
      <c r="AD26" s="40">
        <f t="shared" si="6"/>
        <v>0</v>
      </c>
      <c r="AE26" s="40">
        <f t="shared" si="7"/>
        <v>0</v>
      </c>
      <c r="AF26" s="102">
        <f t="shared" si="8"/>
        <v>0</v>
      </c>
    </row>
    <row r="27" spans="1:32" x14ac:dyDescent="0.25">
      <c r="A27" s="179"/>
      <c r="B27" s="178"/>
      <c r="C27" s="175"/>
      <c r="D27" s="180">
        <f t="shared" si="0"/>
        <v>0</v>
      </c>
      <c r="E27" s="4"/>
      <c r="F27" s="5"/>
      <c r="G27" s="4"/>
      <c r="H27" s="5"/>
      <c r="I27" s="124"/>
      <c r="J27" s="127"/>
      <c r="K27" s="129"/>
      <c r="L27" s="14"/>
      <c r="M27" s="25">
        <f t="shared" si="1"/>
        <v>0</v>
      </c>
      <c r="N27" s="140">
        <f t="shared" si="2"/>
        <v>0</v>
      </c>
      <c r="O27" s="143"/>
      <c r="AA27" s="101">
        <f t="shared" si="3"/>
        <v>0</v>
      </c>
      <c r="AB27" s="40">
        <f t="shared" si="4"/>
        <v>0</v>
      </c>
      <c r="AC27" s="40">
        <f t="shared" si="5"/>
        <v>0</v>
      </c>
      <c r="AD27" s="40">
        <f t="shared" si="6"/>
        <v>0</v>
      </c>
      <c r="AE27" s="40">
        <f t="shared" si="7"/>
        <v>0</v>
      </c>
      <c r="AF27" s="102">
        <f t="shared" si="8"/>
        <v>0</v>
      </c>
    </row>
    <row r="28" spans="1:32" x14ac:dyDescent="0.25">
      <c r="A28" s="179"/>
      <c r="B28" s="178"/>
      <c r="C28" s="175"/>
      <c r="D28" s="180">
        <f t="shared" si="0"/>
        <v>0</v>
      </c>
      <c r="E28" s="4"/>
      <c r="F28" s="5"/>
      <c r="G28" s="4"/>
      <c r="H28" s="5"/>
      <c r="I28" s="124"/>
      <c r="J28" s="127"/>
      <c r="K28" s="129"/>
      <c r="L28" s="14"/>
      <c r="M28" s="25">
        <f t="shared" si="1"/>
        <v>0</v>
      </c>
      <c r="N28" s="140">
        <f t="shared" si="2"/>
        <v>0</v>
      </c>
      <c r="O28" s="143"/>
      <c r="AA28" s="101">
        <f t="shared" si="3"/>
        <v>0</v>
      </c>
      <c r="AB28" s="40">
        <f t="shared" si="4"/>
        <v>0</v>
      </c>
      <c r="AC28" s="40">
        <f t="shared" si="5"/>
        <v>0</v>
      </c>
      <c r="AD28" s="40">
        <f t="shared" si="6"/>
        <v>0</v>
      </c>
      <c r="AE28" s="40">
        <f t="shared" si="7"/>
        <v>0</v>
      </c>
      <c r="AF28" s="102">
        <f t="shared" si="8"/>
        <v>0</v>
      </c>
    </row>
    <row r="29" spans="1:32" x14ac:dyDescent="0.25">
      <c r="A29" s="179"/>
      <c r="B29" s="178"/>
      <c r="C29" s="175"/>
      <c r="D29" s="180">
        <f t="shared" si="0"/>
        <v>0</v>
      </c>
      <c r="E29" s="4"/>
      <c r="F29" s="5"/>
      <c r="G29" s="4"/>
      <c r="H29" s="5"/>
      <c r="I29" s="124"/>
      <c r="J29" s="127"/>
      <c r="K29" s="129"/>
      <c r="L29" s="14"/>
      <c r="M29" s="25">
        <f t="shared" si="1"/>
        <v>0</v>
      </c>
      <c r="N29" s="140">
        <f t="shared" si="2"/>
        <v>0</v>
      </c>
      <c r="O29" s="143"/>
      <c r="AA29" s="101">
        <f t="shared" si="3"/>
        <v>0</v>
      </c>
      <c r="AB29" s="40">
        <f t="shared" si="4"/>
        <v>0</v>
      </c>
      <c r="AC29" s="40">
        <f t="shared" si="5"/>
        <v>0</v>
      </c>
      <c r="AD29" s="40">
        <f t="shared" si="6"/>
        <v>0</v>
      </c>
      <c r="AE29" s="40">
        <f t="shared" si="7"/>
        <v>0</v>
      </c>
      <c r="AF29" s="102">
        <f t="shared" si="8"/>
        <v>0</v>
      </c>
    </row>
    <row r="30" spans="1:32" x14ac:dyDescent="0.25">
      <c r="A30" s="179"/>
      <c r="B30" s="178"/>
      <c r="C30" s="175"/>
      <c r="D30" s="180">
        <f t="shared" si="0"/>
        <v>0</v>
      </c>
      <c r="E30" s="4"/>
      <c r="F30" s="5"/>
      <c r="G30" s="4"/>
      <c r="H30" s="5"/>
      <c r="I30" s="124"/>
      <c r="J30" s="127"/>
      <c r="K30" s="129"/>
      <c r="L30" s="14"/>
      <c r="M30" s="25">
        <f t="shared" si="1"/>
        <v>0</v>
      </c>
      <c r="N30" s="140">
        <f t="shared" si="2"/>
        <v>0</v>
      </c>
      <c r="O30" s="143"/>
      <c r="AA30" s="101">
        <f t="shared" si="3"/>
        <v>0</v>
      </c>
      <c r="AB30" s="40">
        <f t="shared" si="4"/>
        <v>0</v>
      </c>
      <c r="AC30" s="40">
        <f t="shared" si="5"/>
        <v>0</v>
      </c>
      <c r="AD30" s="40">
        <f t="shared" si="6"/>
        <v>0</v>
      </c>
      <c r="AE30" s="40">
        <f t="shared" si="7"/>
        <v>0</v>
      </c>
      <c r="AF30" s="102">
        <f t="shared" si="8"/>
        <v>0</v>
      </c>
    </row>
    <row r="31" spans="1:32" x14ac:dyDescent="0.25">
      <c r="A31" s="179"/>
      <c r="B31" s="178"/>
      <c r="C31" s="175"/>
      <c r="D31" s="180">
        <f t="shared" si="0"/>
        <v>0</v>
      </c>
      <c r="E31" s="4"/>
      <c r="F31" s="5"/>
      <c r="G31" s="4"/>
      <c r="H31" s="5"/>
      <c r="I31" s="124"/>
      <c r="J31" s="127"/>
      <c r="K31" s="129"/>
      <c r="L31" s="14"/>
      <c r="M31" s="25">
        <f t="shared" si="1"/>
        <v>0</v>
      </c>
      <c r="N31" s="140">
        <f t="shared" si="2"/>
        <v>0</v>
      </c>
      <c r="O31" s="143"/>
      <c r="AA31" s="101">
        <f t="shared" si="3"/>
        <v>0</v>
      </c>
      <c r="AB31" s="40">
        <f t="shared" si="4"/>
        <v>0</v>
      </c>
      <c r="AC31" s="40">
        <f t="shared" si="5"/>
        <v>0</v>
      </c>
      <c r="AD31" s="40">
        <f t="shared" si="6"/>
        <v>0</v>
      </c>
      <c r="AE31" s="40">
        <f t="shared" si="7"/>
        <v>0</v>
      </c>
      <c r="AF31" s="102">
        <f t="shared" si="8"/>
        <v>0</v>
      </c>
    </row>
    <row r="32" spans="1:32" x14ac:dyDescent="0.25">
      <c r="A32" s="179"/>
      <c r="B32" s="178"/>
      <c r="C32" s="175"/>
      <c r="D32" s="180">
        <f t="shared" si="0"/>
        <v>0</v>
      </c>
      <c r="E32" s="4"/>
      <c r="F32" s="5"/>
      <c r="G32" s="4"/>
      <c r="H32" s="5"/>
      <c r="I32" s="124"/>
      <c r="J32" s="127"/>
      <c r="K32" s="129"/>
      <c r="L32" s="14"/>
      <c r="M32" s="25">
        <f t="shared" si="1"/>
        <v>0</v>
      </c>
      <c r="N32" s="140">
        <f t="shared" si="2"/>
        <v>0</v>
      </c>
      <c r="O32" s="143"/>
      <c r="AA32" s="101">
        <f t="shared" si="3"/>
        <v>0</v>
      </c>
      <c r="AB32" s="40">
        <f t="shared" si="4"/>
        <v>0</v>
      </c>
      <c r="AC32" s="40">
        <f t="shared" si="5"/>
        <v>0</v>
      </c>
      <c r="AD32" s="40">
        <f t="shared" si="6"/>
        <v>0</v>
      </c>
      <c r="AE32" s="40">
        <f t="shared" si="7"/>
        <v>0</v>
      </c>
      <c r="AF32" s="102">
        <f t="shared" si="8"/>
        <v>0</v>
      </c>
    </row>
    <row r="33" spans="1:32" x14ac:dyDescent="0.25">
      <c r="A33" s="179"/>
      <c r="B33" s="178"/>
      <c r="C33" s="175"/>
      <c r="D33" s="180">
        <f t="shared" si="0"/>
        <v>0</v>
      </c>
      <c r="E33" s="4"/>
      <c r="F33" s="5"/>
      <c r="G33" s="4"/>
      <c r="H33" s="5"/>
      <c r="I33" s="124"/>
      <c r="J33" s="127"/>
      <c r="K33" s="129"/>
      <c r="L33" s="14"/>
      <c r="M33" s="25">
        <f t="shared" si="1"/>
        <v>0</v>
      </c>
      <c r="N33" s="140">
        <f t="shared" si="2"/>
        <v>0</v>
      </c>
      <c r="O33" s="143"/>
      <c r="AA33" s="101">
        <f t="shared" si="3"/>
        <v>0</v>
      </c>
      <c r="AB33" s="40">
        <f t="shared" si="4"/>
        <v>0</v>
      </c>
      <c r="AC33" s="40">
        <f t="shared" si="5"/>
        <v>0</v>
      </c>
      <c r="AD33" s="40">
        <f t="shared" si="6"/>
        <v>0</v>
      </c>
      <c r="AE33" s="40">
        <f t="shared" si="7"/>
        <v>0</v>
      </c>
      <c r="AF33" s="102">
        <f t="shared" si="8"/>
        <v>0</v>
      </c>
    </row>
    <row r="34" spans="1:32" x14ac:dyDescent="0.25">
      <c r="A34" s="179"/>
      <c r="B34" s="178"/>
      <c r="C34" s="175"/>
      <c r="D34" s="180">
        <f t="shared" si="0"/>
        <v>0</v>
      </c>
      <c r="E34" s="4"/>
      <c r="F34" s="5"/>
      <c r="G34" s="4"/>
      <c r="H34" s="5"/>
      <c r="I34" s="124"/>
      <c r="J34" s="127"/>
      <c r="K34" s="129"/>
      <c r="L34" s="14"/>
      <c r="M34" s="25">
        <f t="shared" si="1"/>
        <v>0</v>
      </c>
      <c r="N34" s="140">
        <f t="shared" si="2"/>
        <v>0</v>
      </c>
      <c r="O34" s="143"/>
      <c r="AA34" s="101">
        <f t="shared" si="3"/>
        <v>0</v>
      </c>
      <c r="AB34" s="40">
        <f t="shared" si="4"/>
        <v>0</v>
      </c>
      <c r="AC34" s="40">
        <f t="shared" si="5"/>
        <v>0</v>
      </c>
      <c r="AD34" s="40">
        <f t="shared" si="6"/>
        <v>0</v>
      </c>
      <c r="AE34" s="40">
        <f t="shared" si="7"/>
        <v>0</v>
      </c>
      <c r="AF34" s="102">
        <f t="shared" si="8"/>
        <v>0</v>
      </c>
    </row>
    <row r="35" spans="1:32" x14ac:dyDescent="0.25">
      <c r="A35" s="179"/>
      <c r="B35" s="178"/>
      <c r="C35" s="175"/>
      <c r="D35" s="180">
        <f t="shared" si="0"/>
        <v>0</v>
      </c>
      <c r="E35" s="4"/>
      <c r="F35" s="5"/>
      <c r="G35" s="4"/>
      <c r="H35" s="5"/>
      <c r="I35" s="124"/>
      <c r="J35" s="127"/>
      <c r="K35" s="129"/>
      <c r="L35" s="14"/>
      <c r="M35" s="25">
        <f t="shared" si="1"/>
        <v>0</v>
      </c>
      <c r="N35" s="140">
        <f t="shared" si="2"/>
        <v>0</v>
      </c>
      <c r="O35" s="143"/>
      <c r="AA35" s="101">
        <f t="shared" si="3"/>
        <v>0</v>
      </c>
      <c r="AB35" s="40">
        <f t="shared" si="4"/>
        <v>0</v>
      </c>
      <c r="AC35" s="40">
        <f t="shared" si="5"/>
        <v>0</v>
      </c>
      <c r="AD35" s="40">
        <f t="shared" si="6"/>
        <v>0</v>
      </c>
      <c r="AE35" s="40">
        <f t="shared" si="7"/>
        <v>0</v>
      </c>
      <c r="AF35" s="102">
        <f t="shared" si="8"/>
        <v>0</v>
      </c>
    </row>
    <row r="36" spans="1:32" x14ac:dyDescent="0.25">
      <c r="A36" s="179"/>
      <c r="B36" s="178"/>
      <c r="C36" s="175"/>
      <c r="D36" s="176">
        <f t="shared" si="0"/>
        <v>0</v>
      </c>
      <c r="E36" s="4"/>
      <c r="F36" s="5"/>
      <c r="G36" s="4"/>
      <c r="H36" s="5"/>
      <c r="I36" s="124"/>
      <c r="J36" s="127"/>
      <c r="K36" s="129"/>
      <c r="L36" s="14"/>
      <c r="M36" s="25">
        <f t="shared" si="1"/>
        <v>0</v>
      </c>
      <c r="N36" s="140">
        <f t="shared" si="2"/>
        <v>0</v>
      </c>
      <c r="O36" s="143"/>
      <c r="AA36" s="101">
        <f t="shared" si="3"/>
        <v>0</v>
      </c>
      <c r="AB36" s="40">
        <f t="shared" si="4"/>
        <v>0</v>
      </c>
      <c r="AC36" s="40">
        <f t="shared" si="5"/>
        <v>0</v>
      </c>
      <c r="AD36" s="40">
        <f t="shared" si="6"/>
        <v>0</v>
      </c>
      <c r="AE36" s="40">
        <f t="shared" si="7"/>
        <v>0</v>
      </c>
      <c r="AF36" s="102">
        <f t="shared" si="8"/>
        <v>0</v>
      </c>
    </row>
    <row r="37" spans="1:32" x14ac:dyDescent="0.25">
      <c r="A37" s="181"/>
      <c r="B37" s="178"/>
      <c r="C37" s="175"/>
      <c r="D37" s="180">
        <f t="shared" si="0"/>
        <v>0</v>
      </c>
      <c r="E37" s="4"/>
      <c r="F37" s="5"/>
      <c r="G37" s="4"/>
      <c r="H37" s="5"/>
      <c r="I37" s="124"/>
      <c r="J37" s="127"/>
      <c r="K37" s="129"/>
      <c r="L37" s="14"/>
      <c r="M37" s="25">
        <f t="shared" si="1"/>
        <v>0</v>
      </c>
      <c r="N37" s="140">
        <f t="shared" si="2"/>
        <v>0</v>
      </c>
      <c r="O37" s="143"/>
      <c r="AA37" s="101">
        <f t="shared" si="3"/>
        <v>0</v>
      </c>
      <c r="AB37" s="40">
        <f t="shared" si="4"/>
        <v>0</v>
      </c>
      <c r="AC37" s="40">
        <f t="shared" si="5"/>
        <v>0</v>
      </c>
      <c r="AD37" s="40">
        <f t="shared" si="6"/>
        <v>0</v>
      </c>
      <c r="AE37" s="40">
        <f t="shared" si="7"/>
        <v>0</v>
      </c>
      <c r="AF37" s="102">
        <f t="shared" si="8"/>
        <v>0</v>
      </c>
    </row>
    <row r="38" spans="1:32" x14ac:dyDescent="0.25">
      <c r="A38" s="181"/>
      <c r="B38" s="178"/>
      <c r="C38" s="175"/>
      <c r="D38" s="180">
        <f t="shared" si="0"/>
        <v>0</v>
      </c>
      <c r="E38" s="4"/>
      <c r="F38" s="5"/>
      <c r="G38" s="4"/>
      <c r="H38" s="5"/>
      <c r="I38" s="124"/>
      <c r="J38" s="127"/>
      <c r="K38" s="129"/>
      <c r="L38" s="14"/>
      <c r="M38" s="25">
        <f t="shared" si="1"/>
        <v>0</v>
      </c>
      <c r="N38" s="140">
        <f t="shared" si="2"/>
        <v>0</v>
      </c>
      <c r="O38" s="143"/>
      <c r="AA38" s="101">
        <f t="shared" si="3"/>
        <v>0</v>
      </c>
      <c r="AB38" s="40">
        <f t="shared" si="4"/>
        <v>0</v>
      </c>
      <c r="AC38" s="40">
        <f t="shared" si="5"/>
        <v>0</v>
      </c>
      <c r="AD38" s="40">
        <f t="shared" si="6"/>
        <v>0</v>
      </c>
      <c r="AE38" s="40">
        <f t="shared" si="7"/>
        <v>0</v>
      </c>
      <c r="AF38" s="102">
        <f t="shared" si="8"/>
        <v>0</v>
      </c>
    </row>
    <row r="39" spans="1:32" x14ac:dyDescent="0.25">
      <c r="A39" s="181"/>
      <c r="B39" s="178"/>
      <c r="C39" s="175"/>
      <c r="D39" s="180">
        <f t="shared" ref="D39:D70" si="9">L39+(E39*F39)+(G39*H39)+(I39*J39)</f>
        <v>0</v>
      </c>
      <c r="E39" s="4"/>
      <c r="F39" s="5"/>
      <c r="G39" s="4"/>
      <c r="H39" s="5"/>
      <c r="I39" s="124"/>
      <c r="J39" s="127"/>
      <c r="K39" s="129"/>
      <c r="L39" s="14"/>
      <c r="M39" s="25">
        <f t="shared" ref="M39:M60" si="10">L39*C39</f>
        <v>0</v>
      </c>
      <c r="N39" s="140">
        <f t="shared" ref="N39:N60" si="11">C39*D39</f>
        <v>0</v>
      </c>
      <c r="O39" s="143"/>
      <c r="AA39" s="101">
        <f t="shared" ref="AA39:AA60" si="12">C39*E39</f>
        <v>0</v>
      </c>
      <c r="AB39" s="40">
        <f t="shared" ref="AB39:AB60" si="13">(C39*E39)*F39</f>
        <v>0</v>
      </c>
      <c r="AC39" s="40">
        <f t="shared" ref="AC39:AC60" si="14">C39*I39</f>
        <v>0</v>
      </c>
      <c r="AD39" s="40">
        <f t="shared" ref="AD39:AD60" si="15">(C39*I39)*J39</f>
        <v>0</v>
      </c>
      <c r="AE39" s="40">
        <f t="shared" ref="AE39:AE60" si="16">C39*G39</f>
        <v>0</v>
      </c>
      <c r="AF39" s="102">
        <f t="shared" ref="AF39:AF60" si="17">(C39*G39)*H39</f>
        <v>0</v>
      </c>
    </row>
    <row r="40" spans="1:32" x14ac:dyDescent="0.25">
      <c r="A40" s="181"/>
      <c r="B40" s="178"/>
      <c r="C40" s="175"/>
      <c r="D40" s="180">
        <f t="shared" si="9"/>
        <v>0</v>
      </c>
      <c r="E40" s="4"/>
      <c r="F40" s="5"/>
      <c r="G40" s="4"/>
      <c r="H40" s="5"/>
      <c r="I40" s="124"/>
      <c r="J40" s="127"/>
      <c r="K40" s="129"/>
      <c r="L40" s="14"/>
      <c r="M40" s="25">
        <f t="shared" si="10"/>
        <v>0</v>
      </c>
      <c r="N40" s="140">
        <f t="shared" si="11"/>
        <v>0</v>
      </c>
      <c r="O40" s="143"/>
      <c r="AA40" s="101">
        <f t="shared" si="12"/>
        <v>0</v>
      </c>
      <c r="AB40" s="40">
        <f t="shared" si="13"/>
        <v>0</v>
      </c>
      <c r="AC40" s="40">
        <f t="shared" si="14"/>
        <v>0</v>
      </c>
      <c r="AD40" s="40">
        <f t="shared" si="15"/>
        <v>0</v>
      </c>
      <c r="AE40" s="40">
        <f t="shared" si="16"/>
        <v>0</v>
      </c>
      <c r="AF40" s="102">
        <f t="shared" si="17"/>
        <v>0</v>
      </c>
    </row>
    <row r="41" spans="1:32" x14ac:dyDescent="0.25">
      <c r="A41" s="181"/>
      <c r="B41" s="178"/>
      <c r="C41" s="175"/>
      <c r="D41" s="180">
        <f t="shared" si="9"/>
        <v>0</v>
      </c>
      <c r="E41" s="4"/>
      <c r="F41" s="5"/>
      <c r="G41" s="4"/>
      <c r="H41" s="5"/>
      <c r="I41" s="124"/>
      <c r="J41" s="127"/>
      <c r="K41" s="129"/>
      <c r="L41" s="14"/>
      <c r="M41" s="25">
        <f t="shared" si="10"/>
        <v>0</v>
      </c>
      <c r="N41" s="140">
        <f t="shared" si="11"/>
        <v>0</v>
      </c>
      <c r="O41" s="143"/>
      <c r="AA41" s="101">
        <f t="shared" si="12"/>
        <v>0</v>
      </c>
      <c r="AB41" s="40">
        <f t="shared" si="13"/>
        <v>0</v>
      </c>
      <c r="AC41" s="40">
        <f t="shared" si="14"/>
        <v>0</v>
      </c>
      <c r="AD41" s="40">
        <f t="shared" si="15"/>
        <v>0</v>
      </c>
      <c r="AE41" s="40">
        <f t="shared" si="16"/>
        <v>0</v>
      </c>
      <c r="AF41" s="102">
        <f t="shared" si="17"/>
        <v>0</v>
      </c>
    </row>
    <row r="42" spans="1:32" x14ac:dyDescent="0.25">
      <c r="A42" s="181"/>
      <c r="B42" s="178"/>
      <c r="C42" s="175"/>
      <c r="D42" s="180">
        <f t="shared" si="9"/>
        <v>0</v>
      </c>
      <c r="E42" s="4"/>
      <c r="F42" s="5"/>
      <c r="G42" s="4"/>
      <c r="H42" s="5"/>
      <c r="I42" s="124"/>
      <c r="J42" s="127"/>
      <c r="K42" s="129"/>
      <c r="L42" s="14"/>
      <c r="M42" s="25">
        <f t="shared" si="10"/>
        <v>0</v>
      </c>
      <c r="N42" s="140">
        <f t="shared" si="11"/>
        <v>0</v>
      </c>
      <c r="O42" s="143"/>
      <c r="AA42" s="101">
        <f t="shared" si="12"/>
        <v>0</v>
      </c>
      <c r="AB42" s="40">
        <f t="shared" si="13"/>
        <v>0</v>
      </c>
      <c r="AC42" s="40">
        <f t="shared" si="14"/>
        <v>0</v>
      </c>
      <c r="AD42" s="40">
        <f t="shared" si="15"/>
        <v>0</v>
      </c>
      <c r="AE42" s="40">
        <f t="shared" si="16"/>
        <v>0</v>
      </c>
      <c r="AF42" s="102">
        <f t="shared" si="17"/>
        <v>0</v>
      </c>
    </row>
    <row r="43" spans="1:32" x14ac:dyDescent="0.25">
      <c r="A43" s="181"/>
      <c r="B43" s="178"/>
      <c r="C43" s="175"/>
      <c r="D43" s="180">
        <f t="shared" si="9"/>
        <v>0</v>
      </c>
      <c r="E43" s="4"/>
      <c r="F43" s="5"/>
      <c r="G43" s="4"/>
      <c r="H43" s="5"/>
      <c r="I43" s="124"/>
      <c r="J43" s="127"/>
      <c r="K43" s="129"/>
      <c r="L43" s="14"/>
      <c r="M43" s="25">
        <f t="shared" si="10"/>
        <v>0</v>
      </c>
      <c r="N43" s="140">
        <f t="shared" si="11"/>
        <v>0</v>
      </c>
      <c r="O43" s="143"/>
      <c r="AA43" s="101">
        <f t="shared" si="12"/>
        <v>0</v>
      </c>
      <c r="AB43" s="40">
        <f t="shared" si="13"/>
        <v>0</v>
      </c>
      <c r="AC43" s="40">
        <f t="shared" si="14"/>
        <v>0</v>
      </c>
      <c r="AD43" s="40">
        <f t="shared" si="15"/>
        <v>0</v>
      </c>
      <c r="AE43" s="40">
        <f t="shared" si="16"/>
        <v>0</v>
      </c>
      <c r="AF43" s="102">
        <f t="shared" si="17"/>
        <v>0</v>
      </c>
    </row>
    <row r="44" spans="1:32" x14ac:dyDescent="0.25">
      <c r="A44" s="181"/>
      <c r="B44" s="178"/>
      <c r="C44" s="175"/>
      <c r="D44" s="180">
        <f t="shared" si="9"/>
        <v>0</v>
      </c>
      <c r="E44" s="4"/>
      <c r="F44" s="5"/>
      <c r="G44" s="4"/>
      <c r="H44" s="5"/>
      <c r="I44" s="124"/>
      <c r="J44" s="127"/>
      <c r="K44" s="129"/>
      <c r="L44" s="14"/>
      <c r="M44" s="25">
        <f t="shared" ref="M44:M53" si="18">L44*C44</f>
        <v>0</v>
      </c>
      <c r="N44" s="140">
        <f t="shared" ref="N44:N53" si="19">C44*D44</f>
        <v>0</v>
      </c>
      <c r="O44" s="143"/>
      <c r="AA44" s="101">
        <f t="shared" ref="AA44:AA53" si="20">C44*E44</f>
        <v>0</v>
      </c>
      <c r="AB44" s="40">
        <f t="shared" ref="AB44:AB53" si="21">(C44*E44)*F44</f>
        <v>0</v>
      </c>
      <c r="AC44" s="40">
        <f t="shared" ref="AC44:AC53" si="22">C44*I44</f>
        <v>0</v>
      </c>
      <c r="AD44" s="40">
        <f t="shared" ref="AD44:AD53" si="23">(C44*I44)*J44</f>
        <v>0</v>
      </c>
      <c r="AE44" s="40">
        <f t="shared" ref="AE44:AE53" si="24">C44*G44</f>
        <v>0</v>
      </c>
      <c r="AF44" s="102">
        <f t="shared" ref="AF44:AF53" si="25">(C44*G44)*H44</f>
        <v>0</v>
      </c>
    </row>
    <row r="45" spans="1:32" x14ac:dyDescent="0.25">
      <c r="A45" s="181"/>
      <c r="B45" s="178"/>
      <c r="C45" s="175"/>
      <c r="D45" s="180">
        <f t="shared" si="9"/>
        <v>0</v>
      </c>
      <c r="E45" s="4"/>
      <c r="F45" s="5"/>
      <c r="G45" s="4"/>
      <c r="H45" s="5"/>
      <c r="I45" s="124"/>
      <c r="J45" s="127"/>
      <c r="K45" s="129"/>
      <c r="L45" s="14"/>
      <c r="M45" s="25">
        <f t="shared" si="18"/>
        <v>0</v>
      </c>
      <c r="N45" s="140">
        <f t="shared" si="19"/>
        <v>0</v>
      </c>
      <c r="O45" s="143"/>
      <c r="AA45" s="101">
        <f t="shared" si="20"/>
        <v>0</v>
      </c>
      <c r="AB45" s="40">
        <f t="shared" si="21"/>
        <v>0</v>
      </c>
      <c r="AC45" s="40">
        <f t="shared" si="22"/>
        <v>0</v>
      </c>
      <c r="AD45" s="40">
        <f t="shared" si="23"/>
        <v>0</v>
      </c>
      <c r="AE45" s="40">
        <f t="shared" si="24"/>
        <v>0</v>
      </c>
      <c r="AF45" s="102">
        <f t="shared" si="25"/>
        <v>0</v>
      </c>
    </row>
    <row r="46" spans="1:32" x14ac:dyDescent="0.25">
      <c r="A46" s="181"/>
      <c r="B46" s="178"/>
      <c r="C46" s="175"/>
      <c r="D46" s="180">
        <f t="shared" si="9"/>
        <v>0</v>
      </c>
      <c r="E46" s="4"/>
      <c r="F46" s="5"/>
      <c r="G46" s="4"/>
      <c r="H46" s="5"/>
      <c r="I46" s="124"/>
      <c r="J46" s="127"/>
      <c r="K46" s="129"/>
      <c r="L46" s="14"/>
      <c r="M46" s="25">
        <f t="shared" si="18"/>
        <v>0</v>
      </c>
      <c r="N46" s="140">
        <f t="shared" si="19"/>
        <v>0</v>
      </c>
      <c r="O46" s="143"/>
      <c r="AA46" s="101">
        <f t="shared" si="20"/>
        <v>0</v>
      </c>
      <c r="AB46" s="40">
        <f t="shared" si="21"/>
        <v>0</v>
      </c>
      <c r="AC46" s="40">
        <f t="shared" si="22"/>
        <v>0</v>
      </c>
      <c r="AD46" s="40">
        <f t="shared" si="23"/>
        <v>0</v>
      </c>
      <c r="AE46" s="40">
        <f t="shared" si="24"/>
        <v>0</v>
      </c>
      <c r="AF46" s="102">
        <f t="shared" si="25"/>
        <v>0</v>
      </c>
    </row>
    <row r="47" spans="1:32" x14ac:dyDescent="0.25">
      <c r="A47" s="181"/>
      <c r="B47" s="178"/>
      <c r="C47" s="175"/>
      <c r="D47" s="180">
        <f t="shared" si="9"/>
        <v>0</v>
      </c>
      <c r="E47" s="4"/>
      <c r="F47" s="5"/>
      <c r="G47" s="4"/>
      <c r="H47" s="5"/>
      <c r="I47" s="124"/>
      <c r="J47" s="127"/>
      <c r="K47" s="129"/>
      <c r="L47" s="14"/>
      <c r="M47" s="25">
        <f t="shared" si="18"/>
        <v>0</v>
      </c>
      <c r="N47" s="140">
        <f t="shared" si="19"/>
        <v>0</v>
      </c>
      <c r="O47" s="143"/>
      <c r="AA47" s="101">
        <f t="shared" si="20"/>
        <v>0</v>
      </c>
      <c r="AB47" s="40">
        <f t="shared" si="21"/>
        <v>0</v>
      </c>
      <c r="AC47" s="40">
        <f t="shared" si="22"/>
        <v>0</v>
      </c>
      <c r="AD47" s="40">
        <f t="shared" si="23"/>
        <v>0</v>
      </c>
      <c r="AE47" s="40">
        <f t="shared" si="24"/>
        <v>0</v>
      </c>
      <c r="AF47" s="102">
        <f t="shared" si="25"/>
        <v>0</v>
      </c>
    </row>
    <row r="48" spans="1:32" x14ac:dyDescent="0.25">
      <c r="A48" s="181"/>
      <c r="B48" s="178"/>
      <c r="C48" s="175"/>
      <c r="D48" s="180">
        <f t="shared" si="9"/>
        <v>0</v>
      </c>
      <c r="E48" s="4"/>
      <c r="F48" s="5"/>
      <c r="G48" s="4"/>
      <c r="H48" s="5"/>
      <c r="I48" s="124"/>
      <c r="J48" s="127"/>
      <c r="K48" s="129"/>
      <c r="L48" s="14"/>
      <c r="M48" s="25">
        <f t="shared" si="18"/>
        <v>0</v>
      </c>
      <c r="N48" s="140">
        <f t="shared" si="19"/>
        <v>0</v>
      </c>
      <c r="O48" s="143"/>
      <c r="AA48" s="101">
        <f t="shared" si="20"/>
        <v>0</v>
      </c>
      <c r="AB48" s="40">
        <f t="shared" si="21"/>
        <v>0</v>
      </c>
      <c r="AC48" s="40">
        <f t="shared" si="22"/>
        <v>0</v>
      </c>
      <c r="AD48" s="40">
        <f t="shared" si="23"/>
        <v>0</v>
      </c>
      <c r="AE48" s="40">
        <f t="shared" si="24"/>
        <v>0</v>
      </c>
      <c r="AF48" s="102">
        <f t="shared" si="25"/>
        <v>0</v>
      </c>
    </row>
    <row r="49" spans="1:32" x14ac:dyDescent="0.25">
      <c r="A49" s="181"/>
      <c r="B49" s="178"/>
      <c r="C49" s="175"/>
      <c r="D49" s="180">
        <f t="shared" si="9"/>
        <v>0</v>
      </c>
      <c r="E49" s="4"/>
      <c r="F49" s="5"/>
      <c r="G49" s="4"/>
      <c r="H49" s="5"/>
      <c r="I49" s="124"/>
      <c r="J49" s="127"/>
      <c r="K49" s="129"/>
      <c r="L49" s="14"/>
      <c r="M49" s="25">
        <f t="shared" si="18"/>
        <v>0</v>
      </c>
      <c r="N49" s="140">
        <f t="shared" si="19"/>
        <v>0</v>
      </c>
      <c r="O49" s="143"/>
      <c r="AA49" s="101">
        <f t="shared" si="20"/>
        <v>0</v>
      </c>
      <c r="AB49" s="40">
        <f t="shared" si="21"/>
        <v>0</v>
      </c>
      <c r="AC49" s="40">
        <f t="shared" si="22"/>
        <v>0</v>
      </c>
      <c r="AD49" s="40">
        <f t="shared" si="23"/>
        <v>0</v>
      </c>
      <c r="AE49" s="40">
        <f t="shared" si="24"/>
        <v>0</v>
      </c>
      <c r="AF49" s="102">
        <f t="shared" si="25"/>
        <v>0</v>
      </c>
    </row>
    <row r="50" spans="1:32" x14ac:dyDescent="0.25">
      <c r="A50" s="181"/>
      <c r="B50" s="178"/>
      <c r="C50" s="175"/>
      <c r="D50" s="180">
        <f t="shared" si="9"/>
        <v>0</v>
      </c>
      <c r="E50" s="4"/>
      <c r="F50" s="5"/>
      <c r="G50" s="4"/>
      <c r="H50" s="5"/>
      <c r="I50" s="124"/>
      <c r="J50" s="127"/>
      <c r="K50" s="129"/>
      <c r="L50" s="14"/>
      <c r="M50" s="25">
        <f t="shared" si="18"/>
        <v>0</v>
      </c>
      <c r="N50" s="140">
        <f t="shared" si="19"/>
        <v>0</v>
      </c>
      <c r="O50" s="143"/>
      <c r="AA50" s="101">
        <f t="shared" si="20"/>
        <v>0</v>
      </c>
      <c r="AB50" s="40">
        <f t="shared" si="21"/>
        <v>0</v>
      </c>
      <c r="AC50" s="40">
        <f t="shared" si="22"/>
        <v>0</v>
      </c>
      <c r="AD50" s="40">
        <f t="shared" si="23"/>
        <v>0</v>
      </c>
      <c r="AE50" s="40">
        <f t="shared" si="24"/>
        <v>0</v>
      </c>
      <c r="AF50" s="102">
        <f t="shared" si="25"/>
        <v>0</v>
      </c>
    </row>
    <row r="51" spans="1:32" x14ac:dyDescent="0.25">
      <c r="A51" s="181"/>
      <c r="B51" s="178"/>
      <c r="C51" s="175"/>
      <c r="D51" s="180">
        <f t="shared" si="9"/>
        <v>0</v>
      </c>
      <c r="E51" s="4"/>
      <c r="F51" s="5"/>
      <c r="G51" s="4"/>
      <c r="H51" s="5"/>
      <c r="I51" s="124"/>
      <c r="J51" s="127"/>
      <c r="K51" s="129"/>
      <c r="L51" s="14"/>
      <c r="M51" s="25">
        <f t="shared" si="18"/>
        <v>0</v>
      </c>
      <c r="N51" s="140">
        <f t="shared" si="19"/>
        <v>0</v>
      </c>
      <c r="O51" s="143"/>
      <c r="AA51" s="101">
        <f t="shared" si="20"/>
        <v>0</v>
      </c>
      <c r="AB51" s="40">
        <f t="shared" si="21"/>
        <v>0</v>
      </c>
      <c r="AC51" s="40">
        <f t="shared" si="22"/>
        <v>0</v>
      </c>
      <c r="AD51" s="40">
        <f t="shared" si="23"/>
        <v>0</v>
      </c>
      <c r="AE51" s="40">
        <f t="shared" si="24"/>
        <v>0</v>
      </c>
      <c r="AF51" s="102">
        <f t="shared" si="25"/>
        <v>0</v>
      </c>
    </row>
    <row r="52" spans="1:32" x14ac:dyDescent="0.25">
      <c r="A52" s="181"/>
      <c r="B52" s="178"/>
      <c r="C52" s="175"/>
      <c r="D52" s="180">
        <f t="shared" si="9"/>
        <v>0</v>
      </c>
      <c r="E52" s="4"/>
      <c r="F52" s="5"/>
      <c r="G52" s="4"/>
      <c r="H52" s="5"/>
      <c r="I52" s="124"/>
      <c r="J52" s="127"/>
      <c r="K52" s="129"/>
      <c r="L52" s="14"/>
      <c r="M52" s="25">
        <f t="shared" si="18"/>
        <v>0</v>
      </c>
      <c r="N52" s="140">
        <f t="shared" si="19"/>
        <v>0</v>
      </c>
      <c r="O52" s="143"/>
      <c r="AA52" s="101">
        <f t="shared" si="20"/>
        <v>0</v>
      </c>
      <c r="AB52" s="40">
        <f t="shared" si="21"/>
        <v>0</v>
      </c>
      <c r="AC52" s="40">
        <f t="shared" si="22"/>
        <v>0</v>
      </c>
      <c r="AD52" s="40">
        <f t="shared" si="23"/>
        <v>0</v>
      </c>
      <c r="AE52" s="40">
        <f t="shared" si="24"/>
        <v>0</v>
      </c>
      <c r="AF52" s="102">
        <f t="shared" si="25"/>
        <v>0</v>
      </c>
    </row>
    <row r="53" spans="1:32" x14ac:dyDescent="0.25">
      <c r="A53" s="181"/>
      <c r="B53" s="178"/>
      <c r="C53" s="175"/>
      <c r="D53" s="180">
        <f t="shared" si="9"/>
        <v>0</v>
      </c>
      <c r="E53" s="4"/>
      <c r="F53" s="5"/>
      <c r="G53" s="4"/>
      <c r="H53" s="5"/>
      <c r="I53" s="124"/>
      <c r="J53" s="127"/>
      <c r="K53" s="129"/>
      <c r="L53" s="14"/>
      <c r="M53" s="25">
        <f t="shared" si="18"/>
        <v>0</v>
      </c>
      <c r="N53" s="140">
        <f t="shared" si="19"/>
        <v>0</v>
      </c>
      <c r="O53" s="143"/>
      <c r="AA53" s="101">
        <f t="shared" si="20"/>
        <v>0</v>
      </c>
      <c r="AB53" s="40">
        <f t="shared" si="21"/>
        <v>0</v>
      </c>
      <c r="AC53" s="40">
        <f t="shared" si="22"/>
        <v>0</v>
      </c>
      <c r="AD53" s="40">
        <f t="shared" si="23"/>
        <v>0</v>
      </c>
      <c r="AE53" s="40">
        <f t="shared" si="24"/>
        <v>0</v>
      </c>
      <c r="AF53" s="102">
        <f t="shared" si="25"/>
        <v>0</v>
      </c>
    </row>
    <row r="54" spans="1:32" x14ac:dyDescent="0.25">
      <c r="A54" s="181"/>
      <c r="B54" s="178"/>
      <c r="C54" s="175"/>
      <c r="D54" s="180">
        <f t="shared" si="9"/>
        <v>0</v>
      </c>
      <c r="E54" s="4"/>
      <c r="F54" s="5"/>
      <c r="G54" s="4"/>
      <c r="H54" s="5"/>
      <c r="I54" s="124"/>
      <c r="J54" s="127"/>
      <c r="K54" s="129"/>
      <c r="L54" s="14"/>
      <c r="M54" s="25">
        <f t="shared" si="10"/>
        <v>0</v>
      </c>
      <c r="N54" s="140">
        <f t="shared" si="11"/>
        <v>0</v>
      </c>
      <c r="O54" s="143"/>
      <c r="AA54" s="101">
        <f t="shared" si="12"/>
        <v>0</v>
      </c>
      <c r="AB54" s="40">
        <f t="shared" si="13"/>
        <v>0</v>
      </c>
      <c r="AC54" s="40">
        <f t="shared" si="14"/>
        <v>0</v>
      </c>
      <c r="AD54" s="40">
        <f t="shared" si="15"/>
        <v>0</v>
      </c>
      <c r="AE54" s="40">
        <f t="shared" si="16"/>
        <v>0</v>
      </c>
      <c r="AF54" s="102">
        <f t="shared" si="17"/>
        <v>0</v>
      </c>
    </row>
    <row r="55" spans="1:32" x14ac:dyDescent="0.25">
      <c r="A55" s="181"/>
      <c r="B55" s="178"/>
      <c r="C55" s="175"/>
      <c r="D55" s="180">
        <f t="shared" si="9"/>
        <v>0</v>
      </c>
      <c r="E55" s="4"/>
      <c r="F55" s="5"/>
      <c r="G55" s="4"/>
      <c r="H55" s="5"/>
      <c r="I55" s="124"/>
      <c r="J55" s="127"/>
      <c r="K55" s="129"/>
      <c r="L55" s="14"/>
      <c r="M55" s="25">
        <f t="shared" si="10"/>
        <v>0</v>
      </c>
      <c r="N55" s="140">
        <f t="shared" si="11"/>
        <v>0</v>
      </c>
      <c r="O55" s="143"/>
      <c r="AA55" s="101">
        <f t="shared" si="12"/>
        <v>0</v>
      </c>
      <c r="AB55" s="40">
        <f t="shared" si="13"/>
        <v>0</v>
      </c>
      <c r="AC55" s="40">
        <f t="shared" si="14"/>
        <v>0</v>
      </c>
      <c r="AD55" s="40">
        <f t="shared" si="15"/>
        <v>0</v>
      </c>
      <c r="AE55" s="40">
        <f t="shared" si="16"/>
        <v>0</v>
      </c>
      <c r="AF55" s="102">
        <f t="shared" si="17"/>
        <v>0</v>
      </c>
    </row>
    <row r="56" spans="1:32" x14ac:dyDescent="0.25">
      <c r="A56" s="181"/>
      <c r="B56" s="178"/>
      <c r="C56" s="175"/>
      <c r="D56" s="180">
        <f t="shared" si="9"/>
        <v>0</v>
      </c>
      <c r="E56" s="4"/>
      <c r="F56" s="5"/>
      <c r="G56" s="4"/>
      <c r="H56" s="5"/>
      <c r="I56" s="124"/>
      <c r="J56" s="127"/>
      <c r="K56" s="129"/>
      <c r="L56" s="14"/>
      <c r="M56" s="25">
        <f t="shared" si="10"/>
        <v>0</v>
      </c>
      <c r="N56" s="140">
        <f t="shared" si="11"/>
        <v>0</v>
      </c>
      <c r="O56" s="143"/>
      <c r="AA56" s="101">
        <f t="shared" si="12"/>
        <v>0</v>
      </c>
      <c r="AB56" s="40">
        <f t="shared" si="13"/>
        <v>0</v>
      </c>
      <c r="AC56" s="40">
        <f t="shared" si="14"/>
        <v>0</v>
      </c>
      <c r="AD56" s="40">
        <f t="shared" si="15"/>
        <v>0</v>
      </c>
      <c r="AE56" s="40">
        <f t="shared" si="16"/>
        <v>0</v>
      </c>
      <c r="AF56" s="102">
        <f t="shared" si="17"/>
        <v>0</v>
      </c>
    </row>
    <row r="57" spans="1:32" x14ac:dyDescent="0.25">
      <c r="A57" s="181"/>
      <c r="B57" s="178"/>
      <c r="C57" s="175"/>
      <c r="D57" s="180">
        <f t="shared" si="9"/>
        <v>0</v>
      </c>
      <c r="E57" s="4"/>
      <c r="F57" s="5"/>
      <c r="G57" s="4"/>
      <c r="H57" s="5"/>
      <c r="I57" s="124"/>
      <c r="J57" s="127"/>
      <c r="K57" s="129"/>
      <c r="L57" s="14"/>
      <c r="M57" s="25">
        <f t="shared" si="10"/>
        <v>0</v>
      </c>
      <c r="N57" s="140">
        <f t="shared" si="11"/>
        <v>0</v>
      </c>
      <c r="O57" s="143"/>
      <c r="AA57" s="101">
        <f t="shared" si="12"/>
        <v>0</v>
      </c>
      <c r="AB57" s="40">
        <f t="shared" si="13"/>
        <v>0</v>
      </c>
      <c r="AC57" s="40">
        <f t="shared" si="14"/>
        <v>0</v>
      </c>
      <c r="AD57" s="40">
        <f t="shared" si="15"/>
        <v>0</v>
      </c>
      <c r="AE57" s="40">
        <f t="shared" si="16"/>
        <v>0</v>
      </c>
      <c r="AF57" s="102">
        <f t="shared" si="17"/>
        <v>0</v>
      </c>
    </row>
    <row r="58" spans="1:32" x14ac:dyDescent="0.25">
      <c r="A58" s="181"/>
      <c r="B58" s="178"/>
      <c r="C58" s="175"/>
      <c r="D58" s="180">
        <f t="shared" si="9"/>
        <v>0</v>
      </c>
      <c r="E58" s="4"/>
      <c r="F58" s="5"/>
      <c r="G58" s="4"/>
      <c r="H58" s="5"/>
      <c r="I58" s="124"/>
      <c r="J58" s="127"/>
      <c r="K58" s="129"/>
      <c r="L58" s="14"/>
      <c r="M58" s="25">
        <f t="shared" si="10"/>
        <v>0</v>
      </c>
      <c r="N58" s="140">
        <f t="shared" si="11"/>
        <v>0</v>
      </c>
      <c r="O58" s="143"/>
      <c r="AA58" s="101">
        <f t="shared" si="12"/>
        <v>0</v>
      </c>
      <c r="AB58" s="40">
        <f t="shared" si="13"/>
        <v>0</v>
      </c>
      <c r="AC58" s="40">
        <f t="shared" si="14"/>
        <v>0</v>
      </c>
      <c r="AD58" s="40">
        <f t="shared" si="15"/>
        <v>0</v>
      </c>
      <c r="AE58" s="40">
        <f t="shared" si="16"/>
        <v>0</v>
      </c>
      <c r="AF58" s="102">
        <f t="shared" si="17"/>
        <v>0</v>
      </c>
    </row>
    <row r="59" spans="1:32" x14ac:dyDescent="0.25">
      <c r="A59" s="181"/>
      <c r="B59" s="178"/>
      <c r="C59" s="175"/>
      <c r="D59" s="180">
        <f t="shared" si="9"/>
        <v>0</v>
      </c>
      <c r="E59" s="4"/>
      <c r="F59" s="5"/>
      <c r="G59" s="4"/>
      <c r="H59" s="5"/>
      <c r="I59" s="124"/>
      <c r="J59" s="127"/>
      <c r="K59" s="129"/>
      <c r="L59" s="14"/>
      <c r="M59" s="25">
        <f t="shared" si="10"/>
        <v>0</v>
      </c>
      <c r="N59" s="140">
        <f t="shared" si="11"/>
        <v>0</v>
      </c>
      <c r="O59" s="143"/>
      <c r="AA59" s="101">
        <f t="shared" si="12"/>
        <v>0</v>
      </c>
      <c r="AB59" s="40">
        <f t="shared" si="13"/>
        <v>0</v>
      </c>
      <c r="AC59" s="40">
        <f t="shared" si="14"/>
        <v>0</v>
      </c>
      <c r="AD59" s="40">
        <f t="shared" si="15"/>
        <v>0</v>
      </c>
      <c r="AE59" s="40">
        <f t="shared" si="16"/>
        <v>0</v>
      </c>
      <c r="AF59" s="102">
        <f t="shared" si="17"/>
        <v>0</v>
      </c>
    </row>
    <row r="60" spans="1:32" x14ac:dyDescent="0.25">
      <c r="A60" s="181"/>
      <c r="B60" s="178"/>
      <c r="C60" s="175"/>
      <c r="D60" s="180">
        <f t="shared" si="9"/>
        <v>0</v>
      </c>
      <c r="E60" s="4"/>
      <c r="F60" s="5"/>
      <c r="G60" s="4"/>
      <c r="H60" s="5"/>
      <c r="I60" s="124"/>
      <c r="J60" s="127"/>
      <c r="K60" s="129"/>
      <c r="L60" s="14"/>
      <c r="M60" s="25">
        <f t="shared" si="10"/>
        <v>0</v>
      </c>
      <c r="N60" s="140">
        <f t="shared" si="11"/>
        <v>0</v>
      </c>
      <c r="O60" s="143"/>
      <c r="AA60" s="101">
        <f t="shared" si="12"/>
        <v>0</v>
      </c>
      <c r="AB60" s="40">
        <f t="shared" si="13"/>
        <v>0</v>
      </c>
      <c r="AC60" s="40">
        <f t="shared" si="14"/>
        <v>0</v>
      </c>
      <c r="AD60" s="40">
        <f t="shared" si="15"/>
        <v>0</v>
      </c>
      <c r="AE60" s="40">
        <f t="shared" si="16"/>
        <v>0</v>
      </c>
      <c r="AF60" s="102">
        <f t="shared" si="17"/>
        <v>0</v>
      </c>
    </row>
    <row r="61" spans="1:32" x14ac:dyDescent="0.25">
      <c r="A61" s="181"/>
      <c r="B61" s="178"/>
      <c r="C61" s="175"/>
      <c r="D61" s="180">
        <f t="shared" si="9"/>
        <v>0</v>
      </c>
      <c r="E61" s="4"/>
      <c r="F61" s="5"/>
      <c r="G61" s="4"/>
      <c r="H61" s="5"/>
      <c r="I61" s="124"/>
      <c r="J61" s="127"/>
      <c r="K61" s="129"/>
      <c r="L61" s="14"/>
      <c r="M61" s="25">
        <f t="shared" si="1"/>
        <v>0</v>
      </c>
      <c r="N61" s="140">
        <f t="shared" si="2"/>
        <v>0</v>
      </c>
      <c r="O61" s="143"/>
      <c r="AA61" s="101">
        <f t="shared" si="3"/>
        <v>0</v>
      </c>
      <c r="AB61" s="40">
        <f t="shared" si="4"/>
        <v>0</v>
      </c>
      <c r="AC61" s="40">
        <f t="shared" si="5"/>
        <v>0</v>
      </c>
      <c r="AD61" s="40">
        <f t="shared" si="6"/>
        <v>0</v>
      </c>
      <c r="AE61" s="40">
        <f t="shared" si="7"/>
        <v>0</v>
      </c>
      <c r="AF61" s="102">
        <f t="shared" si="8"/>
        <v>0</v>
      </c>
    </row>
    <row r="62" spans="1:32" x14ac:dyDescent="0.25">
      <c r="A62" s="181"/>
      <c r="B62" s="178"/>
      <c r="C62" s="175"/>
      <c r="D62" s="180">
        <f t="shared" si="9"/>
        <v>0</v>
      </c>
      <c r="E62" s="4"/>
      <c r="F62" s="5"/>
      <c r="G62" s="4"/>
      <c r="H62" s="5"/>
      <c r="I62" s="124"/>
      <c r="J62" s="127"/>
      <c r="K62" s="129"/>
      <c r="L62" s="14"/>
      <c r="M62" s="25">
        <f t="shared" si="1"/>
        <v>0</v>
      </c>
      <c r="N62" s="140">
        <f t="shared" si="2"/>
        <v>0</v>
      </c>
      <c r="O62" s="143"/>
      <c r="AA62" s="101">
        <f t="shared" si="3"/>
        <v>0</v>
      </c>
      <c r="AB62" s="40">
        <f t="shared" si="4"/>
        <v>0</v>
      </c>
      <c r="AC62" s="40">
        <f t="shared" si="5"/>
        <v>0</v>
      </c>
      <c r="AD62" s="40">
        <f t="shared" si="6"/>
        <v>0</v>
      </c>
      <c r="AE62" s="40">
        <f t="shared" si="7"/>
        <v>0</v>
      </c>
      <c r="AF62" s="102">
        <f t="shared" si="8"/>
        <v>0</v>
      </c>
    </row>
    <row r="63" spans="1:32" x14ac:dyDescent="0.25">
      <c r="A63" s="181"/>
      <c r="B63" s="178"/>
      <c r="C63" s="175"/>
      <c r="D63" s="180">
        <f t="shared" si="9"/>
        <v>0</v>
      </c>
      <c r="E63" s="4"/>
      <c r="F63" s="5"/>
      <c r="G63" s="4"/>
      <c r="H63" s="5"/>
      <c r="I63" s="124"/>
      <c r="J63" s="127"/>
      <c r="K63" s="129"/>
      <c r="L63" s="14"/>
      <c r="M63" s="25">
        <f t="shared" si="1"/>
        <v>0</v>
      </c>
      <c r="N63" s="140">
        <f t="shared" si="2"/>
        <v>0</v>
      </c>
      <c r="O63" s="143"/>
      <c r="AA63" s="101">
        <f t="shared" si="3"/>
        <v>0</v>
      </c>
      <c r="AB63" s="40">
        <f t="shared" si="4"/>
        <v>0</v>
      </c>
      <c r="AC63" s="40">
        <f t="shared" si="5"/>
        <v>0</v>
      </c>
      <c r="AD63" s="40">
        <f t="shared" si="6"/>
        <v>0</v>
      </c>
      <c r="AE63" s="40">
        <f t="shared" si="7"/>
        <v>0</v>
      </c>
      <c r="AF63" s="102">
        <f t="shared" si="8"/>
        <v>0</v>
      </c>
    </row>
    <row r="64" spans="1:32" x14ac:dyDescent="0.25">
      <c r="A64" s="181"/>
      <c r="B64" s="178"/>
      <c r="C64" s="175"/>
      <c r="D64" s="180">
        <f t="shared" si="9"/>
        <v>0</v>
      </c>
      <c r="E64" s="4"/>
      <c r="F64" s="5"/>
      <c r="G64" s="4"/>
      <c r="H64" s="5"/>
      <c r="I64" s="124"/>
      <c r="J64" s="127"/>
      <c r="K64" s="129"/>
      <c r="L64" s="14"/>
      <c r="M64" s="25">
        <f t="shared" si="1"/>
        <v>0</v>
      </c>
      <c r="N64" s="140">
        <f t="shared" si="2"/>
        <v>0</v>
      </c>
      <c r="O64" s="143"/>
      <c r="AA64" s="101">
        <f t="shared" si="3"/>
        <v>0</v>
      </c>
      <c r="AB64" s="40">
        <f t="shared" si="4"/>
        <v>0</v>
      </c>
      <c r="AC64" s="40">
        <f t="shared" si="5"/>
        <v>0</v>
      </c>
      <c r="AD64" s="40">
        <f t="shared" si="6"/>
        <v>0</v>
      </c>
      <c r="AE64" s="40">
        <f t="shared" si="7"/>
        <v>0</v>
      </c>
      <c r="AF64" s="102">
        <f t="shared" si="8"/>
        <v>0</v>
      </c>
    </row>
    <row r="65" spans="1:32" x14ac:dyDescent="0.25">
      <c r="A65" s="181"/>
      <c r="B65" s="178"/>
      <c r="C65" s="175"/>
      <c r="D65" s="180">
        <f t="shared" si="9"/>
        <v>0</v>
      </c>
      <c r="E65" s="4"/>
      <c r="F65" s="5"/>
      <c r="G65" s="4"/>
      <c r="H65" s="5"/>
      <c r="I65" s="124"/>
      <c r="J65" s="127"/>
      <c r="K65" s="129"/>
      <c r="L65" s="14"/>
      <c r="M65" s="25">
        <f t="shared" si="1"/>
        <v>0</v>
      </c>
      <c r="N65" s="140">
        <f t="shared" si="2"/>
        <v>0</v>
      </c>
      <c r="O65" s="143"/>
      <c r="AA65" s="101">
        <f t="shared" si="3"/>
        <v>0</v>
      </c>
      <c r="AB65" s="40">
        <f t="shared" si="4"/>
        <v>0</v>
      </c>
      <c r="AC65" s="40">
        <f t="shared" si="5"/>
        <v>0</v>
      </c>
      <c r="AD65" s="40">
        <f t="shared" si="6"/>
        <v>0</v>
      </c>
      <c r="AE65" s="40">
        <f t="shared" si="7"/>
        <v>0</v>
      </c>
      <c r="AF65" s="102">
        <f t="shared" si="8"/>
        <v>0</v>
      </c>
    </row>
    <row r="66" spans="1:32" x14ac:dyDescent="0.25">
      <c r="A66" s="181"/>
      <c r="B66" s="178"/>
      <c r="C66" s="175"/>
      <c r="D66" s="180">
        <f t="shared" si="9"/>
        <v>0</v>
      </c>
      <c r="E66" s="4"/>
      <c r="F66" s="5"/>
      <c r="G66" s="4"/>
      <c r="H66" s="5"/>
      <c r="I66" s="124"/>
      <c r="J66" s="127"/>
      <c r="K66" s="129"/>
      <c r="L66" s="14"/>
      <c r="M66" s="25">
        <f t="shared" si="1"/>
        <v>0</v>
      </c>
      <c r="N66" s="140">
        <f t="shared" si="2"/>
        <v>0</v>
      </c>
      <c r="O66" s="143"/>
      <c r="AA66" s="101">
        <f t="shared" si="3"/>
        <v>0</v>
      </c>
      <c r="AB66" s="40">
        <f t="shared" si="4"/>
        <v>0</v>
      </c>
      <c r="AC66" s="40">
        <f t="shared" si="5"/>
        <v>0</v>
      </c>
      <c r="AD66" s="40">
        <f t="shared" si="6"/>
        <v>0</v>
      </c>
      <c r="AE66" s="40">
        <f t="shared" si="7"/>
        <v>0</v>
      </c>
      <c r="AF66" s="102">
        <f t="shared" si="8"/>
        <v>0</v>
      </c>
    </row>
    <row r="67" spans="1:32" x14ac:dyDescent="0.25">
      <c r="A67" s="181"/>
      <c r="B67" s="178"/>
      <c r="C67" s="175"/>
      <c r="D67" s="180">
        <f t="shared" si="9"/>
        <v>0</v>
      </c>
      <c r="E67" s="4"/>
      <c r="F67" s="5"/>
      <c r="G67" s="4"/>
      <c r="H67" s="5"/>
      <c r="I67" s="124"/>
      <c r="J67" s="127"/>
      <c r="K67" s="129"/>
      <c r="L67" s="14"/>
      <c r="M67" s="25">
        <f t="shared" si="1"/>
        <v>0</v>
      </c>
      <c r="N67" s="140">
        <f t="shared" si="2"/>
        <v>0</v>
      </c>
      <c r="O67" s="143"/>
      <c r="AA67" s="101">
        <f t="shared" si="3"/>
        <v>0</v>
      </c>
      <c r="AB67" s="40">
        <f t="shared" si="4"/>
        <v>0</v>
      </c>
      <c r="AC67" s="40">
        <f t="shared" si="5"/>
        <v>0</v>
      </c>
      <c r="AD67" s="40">
        <f t="shared" si="6"/>
        <v>0</v>
      </c>
      <c r="AE67" s="40">
        <f t="shared" si="7"/>
        <v>0</v>
      </c>
      <c r="AF67" s="102">
        <f t="shared" si="8"/>
        <v>0</v>
      </c>
    </row>
    <row r="68" spans="1:32" x14ac:dyDescent="0.25">
      <c r="A68" s="181"/>
      <c r="B68" s="178"/>
      <c r="C68" s="175"/>
      <c r="D68" s="180">
        <f t="shared" si="9"/>
        <v>0</v>
      </c>
      <c r="E68" s="4"/>
      <c r="F68" s="5"/>
      <c r="G68" s="4"/>
      <c r="H68" s="5"/>
      <c r="I68" s="124"/>
      <c r="J68" s="127"/>
      <c r="K68" s="129"/>
      <c r="L68" s="14"/>
      <c r="M68" s="25">
        <f t="shared" si="1"/>
        <v>0</v>
      </c>
      <c r="N68" s="140">
        <f t="shared" si="2"/>
        <v>0</v>
      </c>
      <c r="O68" s="143"/>
      <c r="AA68" s="101">
        <f t="shared" si="3"/>
        <v>0</v>
      </c>
      <c r="AB68" s="40">
        <f t="shared" si="4"/>
        <v>0</v>
      </c>
      <c r="AC68" s="40">
        <f t="shared" si="5"/>
        <v>0</v>
      </c>
      <c r="AD68" s="40">
        <f t="shared" si="6"/>
        <v>0</v>
      </c>
      <c r="AE68" s="40">
        <f t="shared" si="7"/>
        <v>0</v>
      </c>
      <c r="AF68" s="102">
        <f t="shared" si="8"/>
        <v>0</v>
      </c>
    </row>
    <row r="69" spans="1:32" x14ac:dyDescent="0.25">
      <c r="A69" s="181"/>
      <c r="B69" s="178"/>
      <c r="C69" s="175"/>
      <c r="D69" s="180">
        <f t="shared" si="9"/>
        <v>0</v>
      </c>
      <c r="E69" s="4"/>
      <c r="F69" s="5"/>
      <c r="G69" s="4"/>
      <c r="H69" s="5"/>
      <c r="I69" s="124"/>
      <c r="J69" s="127"/>
      <c r="K69" s="129"/>
      <c r="L69" s="14"/>
      <c r="M69" s="25">
        <f t="shared" si="1"/>
        <v>0</v>
      </c>
      <c r="N69" s="140">
        <f t="shared" si="2"/>
        <v>0</v>
      </c>
      <c r="O69" s="143"/>
      <c r="AA69" s="101">
        <f t="shared" si="3"/>
        <v>0</v>
      </c>
      <c r="AB69" s="40">
        <f t="shared" si="4"/>
        <v>0</v>
      </c>
      <c r="AC69" s="40">
        <f t="shared" si="5"/>
        <v>0</v>
      </c>
      <c r="AD69" s="40">
        <f t="shared" si="6"/>
        <v>0</v>
      </c>
      <c r="AE69" s="40">
        <f t="shared" si="7"/>
        <v>0</v>
      </c>
      <c r="AF69" s="102">
        <f t="shared" si="8"/>
        <v>0</v>
      </c>
    </row>
    <row r="70" spans="1:32" ht="15.75" thickBot="1" x14ac:dyDescent="0.3">
      <c r="A70" s="182"/>
      <c r="B70" s="183"/>
      <c r="C70" s="184"/>
      <c r="D70" s="185">
        <f t="shared" si="9"/>
        <v>0</v>
      </c>
      <c r="E70" s="6"/>
      <c r="F70" s="7"/>
      <c r="G70" s="6"/>
      <c r="H70" s="7"/>
      <c r="I70" s="125"/>
      <c r="J70" s="128"/>
      <c r="K70" s="130"/>
      <c r="L70" s="15"/>
      <c r="M70" s="26">
        <f t="shared" si="1"/>
        <v>0</v>
      </c>
      <c r="N70" s="141">
        <f t="shared" si="2"/>
        <v>0</v>
      </c>
      <c r="O70" s="144"/>
      <c r="AA70" s="103">
        <f t="shared" si="3"/>
        <v>0</v>
      </c>
      <c r="AB70" s="104">
        <f t="shared" si="4"/>
        <v>0</v>
      </c>
      <c r="AC70" s="104">
        <f t="shared" si="5"/>
        <v>0</v>
      </c>
      <c r="AD70" s="104">
        <f t="shared" si="6"/>
        <v>0</v>
      </c>
      <c r="AE70" s="104">
        <f t="shared" si="7"/>
        <v>0</v>
      </c>
      <c r="AF70" s="105">
        <f t="shared" si="8"/>
        <v>0</v>
      </c>
    </row>
    <row r="71" spans="1:32" ht="15.75" thickBot="1" x14ac:dyDescent="0.3">
      <c r="A71" s="21"/>
      <c r="B71" s="21"/>
      <c r="C71" s="21"/>
      <c r="D71" s="21"/>
      <c r="E71" s="21">
        <f t="shared" ref="E71:J71" si="26">SUM(E7:E70)</f>
        <v>0</v>
      </c>
      <c r="F71" s="21">
        <f t="shared" si="26"/>
        <v>0</v>
      </c>
      <c r="G71" s="21">
        <f t="shared" si="26"/>
        <v>0</v>
      </c>
      <c r="H71" s="21">
        <f t="shared" si="26"/>
        <v>0</v>
      </c>
      <c r="I71" s="21">
        <f t="shared" si="26"/>
        <v>0</v>
      </c>
      <c r="J71" s="21">
        <f t="shared" si="26"/>
        <v>0</v>
      </c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</row>
    <row r="72" spans="1:32" ht="15.75" thickBot="1" x14ac:dyDescent="0.3">
      <c r="A72" t="s">
        <v>16</v>
      </c>
      <c r="E72" s="245" t="s">
        <v>10</v>
      </c>
      <c r="F72" s="246"/>
      <c r="G72" s="246"/>
      <c r="H72" s="246"/>
      <c r="I72" s="246"/>
      <c r="J72" s="246"/>
      <c r="K72" s="246"/>
      <c r="L72" s="247"/>
      <c r="M72" s="16">
        <f>SUM(M7:M70)</f>
        <v>0</v>
      </c>
      <c r="N72" s="16">
        <f>SUM(N7:N70)</f>
        <v>0</v>
      </c>
    </row>
    <row r="73" spans="1:32" ht="15.75" thickBot="1" x14ac:dyDescent="0.3">
      <c r="E73" s="245" t="s">
        <v>11</v>
      </c>
      <c r="F73" s="246"/>
      <c r="G73" s="246"/>
      <c r="H73" s="246"/>
      <c r="I73" s="246"/>
      <c r="J73" s="246"/>
      <c r="K73" s="246"/>
      <c r="L73" s="247"/>
      <c r="M73" s="17">
        <f>M72*1.15</f>
        <v>0</v>
      </c>
      <c r="N73" s="17">
        <f>N72*1.15</f>
        <v>0</v>
      </c>
    </row>
  </sheetData>
  <sortState ref="A7:L70">
    <sortCondition ref="A6"/>
  </sortState>
  <mergeCells count="12">
    <mergeCell ref="A4:O4"/>
    <mergeCell ref="N5:N6"/>
    <mergeCell ref="Q5:V5"/>
    <mergeCell ref="E72:L72"/>
    <mergeCell ref="E73:L73"/>
    <mergeCell ref="B5:D5"/>
    <mergeCell ref="E5:F5"/>
    <mergeCell ref="I5:J5"/>
    <mergeCell ref="L5:M5"/>
    <mergeCell ref="G5:H5"/>
    <mergeCell ref="K5:K6"/>
    <mergeCell ref="O5:O6"/>
  </mergeCells>
  <dataValidations count="1">
    <dataValidation type="list" allowBlank="1" showInputMessage="1" showErrorMessage="1" sqref="B7:B70">
      <formula1>$Z$2:$Z$1034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PA">
                <anchor moveWithCells="1" sizeWithCells="1">
                  <from>
                    <xdr:col>16</xdr:col>
                    <xdr:colOff>28575</xdr:colOff>
                    <xdr:row>0</xdr:row>
                    <xdr:rowOff>28575</xdr:rowOff>
                  </from>
                  <to>
                    <xdr:col>17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A1:AF73"/>
  <sheetViews>
    <sheetView workbookViewId="0">
      <pane ySplit="6" topLeftCell="A7" activePane="bottomLeft" state="frozen"/>
      <selection activeCell="K60" sqref="K60"/>
      <selection pane="bottomLeft" activeCell="U8" sqref="U8"/>
    </sheetView>
  </sheetViews>
  <sheetFormatPr defaultRowHeight="15" x14ac:dyDescent="0.25"/>
  <cols>
    <col min="1" max="1" width="9.7109375" bestFit="1" customWidth="1"/>
    <col min="2" max="2" width="20.7109375" customWidth="1"/>
    <col min="3" max="3" width="7.42578125" customWidth="1"/>
    <col min="4" max="4" width="11.7109375" customWidth="1"/>
    <col min="5" max="5" width="4.42578125" customWidth="1"/>
    <col min="6" max="6" width="6.42578125" customWidth="1"/>
    <col min="7" max="7" width="4.42578125" customWidth="1"/>
    <col min="8" max="8" width="6.140625" customWidth="1"/>
    <col min="9" max="9" width="4.42578125" customWidth="1"/>
    <col min="10" max="10" width="6.85546875" customWidth="1"/>
    <col min="11" max="11" width="8.5703125" customWidth="1"/>
    <col min="12" max="12" width="9.5703125" bestFit="1" customWidth="1"/>
    <col min="13" max="13" width="14.5703125" customWidth="1"/>
    <col min="14" max="14" width="16.140625" customWidth="1"/>
    <col min="15" max="15" width="11" customWidth="1"/>
    <col min="16" max="16" width="4.28515625" customWidth="1"/>
    <col min="17" max="17" width="3.42578125" customWidth="1"/>
    <col min="21" max="21" width="13.28515625" bestFit="1" customWidth="1"/>
    <col min="22" max="22" width="2.5703125" customWidth="1"/>
    <col min="26" max="26" width="20.140625" style="22" customWidth="1"/>
    <col min="27" max="27" width="9.140625" style="22"/>
    <col min="28" max="28" width="12.28515625" style="22" bestFit="1" customWidth="1"/>
    <col min="29" max="29" width="12.28515625" style="22" customWidth="1"/>
    <col min="30" max="30" width="14" style="22" bestFit="1" customWidth="1"/>
    <col min="31" max="31" width="10.85546875" style="22" bestFit="1" customWidth="1"/>
    <col min="32" max="32" width="15.7109375" style="22" bestFit="1" customWidth="1"/>
  </cols>
  <sheetData>
    <row r="1" spans="1:32" x14ac:dyDescent="0.25">
      <c r="Q1" s="158"/>
      <c r="R1" s="158"/>
      <c r="Z1" s="23" t="s">
        <v>7</v>
      </c>
      <c r="AA1" s="23"/>
    </row>
    <row r="2" spans="1:32" x14ac:dyDescent="0.25">
      <c r="A2" s="10" t="s">
        <v>0</v>
      </c>
      <c r="Q2" s="158"/>
      <c r="R2" s="158"/>
      <c r="Z2" s="22" t="s">
        <v>19</v>
      </c>
    </row>
    <row r="3" spans="1:32" ht="15.75" thickBot="1" x14ac:dyDescent="0.3">
      <c r="A3" s="21">
        <f>SUM(C7:C70)</f>
        <v>0</v>
      </c>
      <c r="Q3" s="158"/>
      <c r="R3" s="158"/>
      <c r="Z3" s="22" t="s">
        <v>53</v>
      </c>
    </row>
    <row r="4" spans="1:32" ht="15.75" thickBot="1" x14ac:dyDescent="0.3">
      <c r="A4" s="255" t="s">
        <v>17</v>
      </c>
      <c r="B4" s="256"/>
      <c r="C4" s="256"/>
      <c r="D4" s="256"/>
      <c r="E4" s="256"/>
      <c r="F4" s="256"/>
      <c r="G4" s="256"/>
      <c r="H4" s="256"/>
      <c r="I4" s="256"/>
      <c r="J4" s="256"/>
      <c r="K4" s="256"/>
      <c r="L4" s="256"/>
      <c r="M4" s="256"/>
      <c r="N4" s="256"/>
      <c r="O4" s="257"/>
      <c r="Z4" s="22" t="s">
        <v>54</v>
      </c>
    </row>
    <row r="5" spans="1:32" ht="15.75" thickBot="1" x14ac:dyDescent="0.3">
      <c r="A5" s="160"/>
      <c r="B5" s="235" t="s">
        <v>2</v>
      </c>
      <c r="C5" s="236"/>
      <c r="D5" s="237"/>
      <c r="E5" s="235" t="s">
        <v>9</v>
      </c>
      <c r="F5" s="237"/>
      <c r="G5" s="235" t="s">
        <v>12</v>
      </c>
      <c r="H5" s="237"/>
      <c r="I5" s="248" t="s">
        <v>148</v>
      </c>
      <c r="J5" s="248"/>
      <c r="K5" s="238" t="s">
        <v>160</v>
      </c>
      <c r="L5" s="235" t="s">
        <v>211</v>
      </c>
      <c r="M5" s="237"/>
      <c r="N5" s="240" t="s">
        <v>10</v>
      </c>
      <c r="O5" s="240" t="s">
        <v>210</v>
      </c>
      <c r="Q5" s="258" t="s">
        <v>17</v>
      </c>
      <c r="R5" s="259"/>
      <c r="S5" s="259"/>
      <c r="T5" s="259"/>
      <c r="U5" s="259"/>
      <c r="V5" s="260"/>
      <c r="Z5" s="22" t="s">
        <v>55</v>
      </c>
    </row>
    <row r="6" spans="1:32" ht="15.75" thickBot="1" x14ac:dyDescent="0.3">
      <c r="A6" s="159" t="s">
        <v>6</v>
      </c>
      <c r="B6" s="1" t="s">
        <v>7</v>
      </c>
      <c r="C6" s="19" t="s">
        <v>15</v>
      </c>
      <c r="D6" s="1" t="s">
        <v>3</v>
      </c>
      <c r="E6" s="18" t="s">
        <v>14</v>
      </c>
      <c r="F6" s="20" t="s">
        <v>13</v>
      </c>
      <c r="G6" s="121" t="s">
        <v>14</v>
      </c>
      <c r="H6" s="122" t="s">
        <v>13</v>
      </c>
      <c r="I6" s="19" t="s">
        <v>14</v>
      </c>
      <c r="J6" s="19" t="s">
        <v>13</v>
      </c>
      <c r="K6" s="239"/>
      <c r="L6" s="8" t="s">
        <v>4</v>
      </c>
      <c r="M6" s="9" t="s">
        <v>5</v>
      </c>
      <c r="N6" s="241"/>
      <c r="O6" s="241"/>
      <c r="Q6" s="48"/>
      <c r="R6" s="49"/>
      <c r="S6" s="49"/>
      <c r="T6" s="49"/>
      <c r="U6" s="49"/>
      <c r="V6" s="50"/>
      <c r="Z6" s="22" t="s">
        <v>56</v>
      </c>
      <c r="AA6" s="98" t="s">
        <v>147</v>
      </c>
      <c r="AB6" s="99" t="s">
        <v>146</v>
      </c>
      <c r="AC6" s="99" t="s">
        <v>149</v>
      </c>
      <c r="AD6" s="99" t="s">
        <v>150</v>
      </c>
      <c r="AE6" s="99" t="s">
        <v>88</v>
      </c>
      <c r="AF6" s="100" t="s">
        <v>89</v>
      </c>
    </row>
    <row r="7" spans="1:32" x14ac:dyDescent="0.25">
      <c r="A7" s="170"/>
      <c r="B7" s="171"/>
      <c r="C7" s="172"/>
      <c r="D7" s="173">
        <f t="shared" ref="D7:D38" si="0">L7+(E7*F7)+(G7*H7)+(I7*J7)</f>
        <v>0</v>
      </c>
      <c r="E7" s="2"/>
      <c r="F7" s="3"/>
      <c r="G7" s="2"/>
      <c r="H7" s="3"/>
      <c r="I7" s="123"/>
      <c r="J7" s="126"/>
      <c r="K7" s="129"/>
      <c r="L7" s="14"/>
      <c r="M7" s="25">
        <f t="shared" ref="M7:M70" si="1">L7*C7</f>
        <v>0</v>
      </c>
      <c r="N7" s="139">
        <f t="shared" ref="N7:N70" si="2">C7*D7</f>
        <v>0</v>
      </c>
      <c r="O7" s="142"/>
      <c r="Q7" s="51"/>
      <c r="R7" s="54" t="s">
        <v>90</v>
      </c>
      <c r="S7" s="55"/>
      <c r="T7" s="63"/>
      <c r="U7" s="56">
        <f>SUM(C7:C70)</f>
        <v>0</v>
      </c>
      <c r="V7" s="37"/>
      <c r="Z7" s="22" t="s">
        <v>57</v>
      </c>
      <c r="AA7" s="101">
        <f t="shared" ref="AA7:AA70" si="3">C7*E7</f>
        <v>0</v>
      </c>
      <c r="AB7" s="40">
        <f t="shared" ref="AB7:AB70" si="4">(C7*E7)*F7</f>
        <v>0</v>
      </c>
      <c r="AC7" s="40">
        <f t="shared" ref="AC7:AC70" si="5">C7*I7</f>
        <v>0</v>
      </c>
      <c r="AD7" s="40">
        <f t="shared" ref="AD7:AD70" si="6">(C7*I7)*J7</f>
        <v>0</v>
      </c>
      <c r="AE7" s="40">
        <f>C7*G7</f>
        <v>0</v>
      </c>
      <c r="AF7" s="102">
        <f>(C7*G7)*H7</f>
        <v>0</v>
      </c>
    </row>
    <row r="8" spans="1:32" ht="15.75" thickBot="1" x14ac:dyDescent="0.3">
      <c r="A8" s="170"/>
      <c r="B8" s="174"/>
      <c r="C8" s="175"/>
      <c r="D8" s="176">
        <f t="shared" si="0"/>
        <v>0</v>
      </c>
      <c r="E8" s="4"/>
      <c r="F8" s="5"/>
      <c r="G8" s="4"/>
      <c r="H8" s="5"/>
      <c r="I8" s="124"/>
      <c r="J8" s="127"/>
      <c r="K8" s="129"/>
      <c r="L8" s="14"/>
      <c r="M8" s="25">
        <f t="shared" si="1"/>
        <v>0</v>
      </c>
      <c r="N8" s="140">
        <f t="shared" si="2"/>
        <v>0</v>
      </c>
      <c r="O8" s="143"/>
      <c r="Q8" s="51"/>
      <c r="R8" s="57" t="s">
        <v>91</v>
      </c>
      <c r="S8" s="58"/>
      <c r="T8" s="64"/>
      <c r="U8" s="59">
        <f>SUM(M7:M70)</f>
        <v>0</v>
      </c>
      <c r="V8" s="37"/>
      <c r="Z8" s="22" t="s">
        <v>58</v>
      </c>
      <c r="AA8" s="101">
        <f t="shared" si="3"/>
        <v>0</v>
      </c>
      <c r="AB8" s="40">
        <f t="shared" si="4"/>
        <v>0</v>
      </c>
      <c r="AC8" s="40">
        <f t="shared" si="5"/>
        <v>0</v>
      </c>
      <c r="AD8" s="40">
        <f t="shared" si="6"/>
        <v>0</v>
      </c>
      <c r="AE8" s="40">
        <f t="shared" ref="AE8:AE70" si="7">C8*G8</f>
        <v>0</v>
      </c>
      <c r="AF8" s="102">
        <f t="shared" ref="AF8:AF70" si="8">(C8*G8)*H8</f>
        <v>0</v>
      </c>
    </row>
    <row r="9" spans="1:32" ht="15.75" thickBot="1" x14ac:dyDescent="0.3">
      <c r="A9" s="170"/>
      <c r="B9" s="177"/>
      <c r="C9" s="175"/>
      <c r="D9" s="176">
        <f t="shared" si="0"/>
        <v>0</v>
      </c>
      <c r="E9" s="4"/>
      <c r="F9" s="5"/>
      <c r="G9" s="4"/>
      <c r="H9" s="5"/>
      <c r="I9" s="124"/>
      <c r="J9" s="127"/>
      <c r="K9" s="129"/>
      <c r="L9" s="14"/>
      <c r="M9" s="25">
        <f t="shared" si="1"/>
        <v>0</v>
      </c>
      <c r="N9" s="140">
        <f t="shared" si="2"/>
        <v>0</v>
      </c>
      <c r="O9" s="143"/>
      <c r="Q9" s="51"/>
      <c r="R9" s="52"/>
      <c r="S9" s="36"/>
      <c r="T9" s="36"/>
      <c r="U9" s="36"/>
      <c r="V9" s="37"/>
      <c r="Z9" s="22" t="s">
        <v>59</v>
      </c>
      <c r="AA9" s="101">
        <f t="shared" si="3"/>
        <v>0</v>
      </c>
      <c r="AB9" s="40">
        <f t="shared" si="4"/>
        <v>0</v>
      </c>
      <c r="AC9" s="40">
        <f t="shared" si="5"/>
        <v>0</v>
      </c>
      <c r="AD9" s="40">
        <f t="shared" si="6"/>
        <v>0</v>
      </c>
      <c r="AE9" s="40">
        <f t="shared" si="7"/>
        <v>0</v>
      </c>
      <c r="AF9" s="102">
        <f t="shared" si="8"/>
        <v>0</v>
      </c>
    </row>
    <row r="10" spans="1:32" x14ac:dyDescent="0.25">
      <c r="A10" s="170"/>
      <c r="B10" s="178"/>
      <c r="C10" s="175"/>
      <c r="D10" s="176">
        <f t="shared" si="0"/>
        <v>0</v>
      </c>
      <c r="E10" s="4"/>
      <c r="F10" s="5"/>
      <c r="G10" s="4"/>
      <c r="H10" s="5"/>
      <c r="I10" s="124"/>
      <c r="J10" s="127"/>
      <c r="K10" s="129"/>
      <c r="L10" s="14"/>
      <c r="M10" s="25">
        <f t="shared" si="1"/>
        <v>0</v>
      </c>
      <c r="N10" s="140">
        <f t="shared" si="2"/>
        <v>0</v>
      </c>
      <c r="O10" s="143"/>
      <c r="Q10" s="51"/>
      <c r="R10" s="54" t="s">
        <v>86</v>
      </c>
      <c r="S10" s="55"/>
      <c r="T10" s="63"/>
      <c r="U10" s="56">
        <f>SUM(AA:AA)</f>
        <v>0</v>
      </c>
      <c r="V10" s="37"/>
      <c r="Z10" s="22" t="s">
        <v>60</v>
      </c>
      <c r="AA10" s="101">
        <f t="shared" si="3"/>
        <v>0</v>
      </c>
      <c r="AB10" s="40">
        <f t="shared" si="4"/>
        <v>0</v>
      </c>
      <c r="AC10" s="40">
        <f t="shared" si="5"/>
        <v>0</v>
      </c>
      <c r="AD10" s="40">
        <f t="shared" si="6"/>
        <v>0</v>
      </c>
      <c r="AE10" s="40">
        <f t="shared" si="7"/>
        <v>0</v>
      </c>
      <c r="AF10" s="102">
        <f t="shared" si="8"/>
        <v>0</v>
      </c>
    </row>
    <row r="11" spans="1:32" ht="15.75" thickBot="1" x14ac:dyDescent="0.3">
      <c r="A11" s="170"/>
      <c r="B11" s="178"/>
      <c r="C11" s="175"/>
      <c r="D11" s="176">
        <f t="shared" si="0"/>
        <v>0</v>
      </c>
      <c r="E11" s="4"/>
      <c r="F11" s="5"/>
      <c r="G11" s="4"/>
      <c r="H11" s="5"/>
      <c r="I11" s="124"/>
      <c r="J11" s="127"/>
      <c r="K11" s="129"/>
      <c r="L11" s="14"/>
      <c r="M11" s="25">
        <f t="shared" si="1"/>
        <v>0</v>
      </c>
      <c r="N11" s="140">
        <f t="shared" si="2"/>
        <v>0</v>
      </c>
      <c r="O11" s="143"/>
      <c r="Q11" s="51"/>
      <c r="R11" s="57" t="s">
        <v>87</v>
      </c>
      <c r="S11" s="58"/>
      <c r="T11" s="64"/>
      <c r="U11" s="59">
        <f>SUM(AB:AB)</f>
        <v>0</v>
      </c>
      <c r="V11" s="37"/>
      <c r="Z11" s="22" t="s">
        <v>61</v>
      </c>
      <c r="AA11" s="101">
        <f t="shared" si="3"/>
        <v>0</v>
      </c>
      <c r="AB11" s="40">
        <f t="shared" si="4"/>
        <v>0</v>
      </c>
      <c r="AC11" s="40">
        <f t="shared" si="5"/>
        <v>0</v>
      </c>
      <c r="AD11" s="40">
        <f t="shared" si="6"/>
        <v>0</v>
      </c>
      <c r="AE11" s="40">
        <f t="shared" si="7"/>
        <v>0</v>
      </c>
      <c r="AF11" s="102">
        <f t="shared" si="8"/>
        <v>0</v>
      </c>
    </row>
    <row r="12" spans="1:32" ht="15.75" thickBot="1" x14ac:dyDescent="0.3">
      <c r="A12" s="170"/>
      <c r="B12" s="178"/>
      <c r="C12" s="175"/>
      <c r="D12" s="176">
        <f t="shared" si="0"/>
        <v>0</v>
      </c>
      <c r="E12" s="4"/>
      <c r="F12" s="5"/>
      <c r="G12" s="4"/>
      <c r="H12" s="5"/>
      <c r="I12" s="124"/>
      <c r="J12" s="127"/>
      <c r="K12" s="129"/>
      <c r="L12" s="14"/>
      <c r="M12" s="25">
        <f t="shared" si="1"/>
        <v>0</v>
      </c>
      <c r="N12" s="140">
        <f t="shared" si="2"/>
        <v>0</v>
      </c>
      <c r="O12" s="143"/>
      <c r="Q12" s="51"/>
      <c r="R12" s="52"/>
      <c r="S12" s="36"/>
      <c r="T12" s="36"/>
      <c r="U12" s="36"/>
      <c r="V12" s="37"/>
      <c r="Z12" s="22" t="s">
        <v>62</v>
      </c>
      <c r="AA12" s="101">
        <f t="shared" si="3"/>
        <v>0</v>
      </c>
      <c r="AB12" s="40">
        <f t="shared" si="4"/>
        <v>0</v>
      </c>
      <c r="AC12" s="40">
        <f t="shared" si="5"/>
        <v>0</v>
      </c>
      <c r="AD12" s="40">
        <f t="shared" si="6"/>
        <v>0</v>
      </c>
      <c r="AE12" s="40">
        <f t="shared" si="7"/>
        <v>0</v>
      </c>
      <c r="AF12" s="102">
        <f t="shared" si="8"/>
        <v>0</v>
      </c>
    </row>
    <row r="13" spans="1:32" x14ac:dyDescent="0.25">
      <c r="A13" s="170"/>
      <c r="B13" s="178"/>
      <c r="C13" s="175"/>
      <c r="D13" s="176">
        <f t="shared" si="0"/>
        <v>0</v>
      </c>
      <c r="E13" s="4"/>
      <c r="F13" s="5"/>
      <c r="G13" s="4"/>
      <c r="H13" s="5"/>
      <c r="I13" s="124"/>
      <c r="J13" s="127"/>
      <c r="K13" s="129"/>
      <c r="L13" s="14"/>
      <c r="M13" s="25">
        <f t="shared" si="1"/>
        <v>0</v>
      </c>
      <c r="N13" s="140">
        <f t="shared" si="2"/>
        <v>0</v>
      </c>
      <c r="O13" s="143"/>
      <c r="Q13" s="51"/>
      <c r="R13" s="54" t="s">
        <v>88</v>
      </c>
      <c r="S13" s="55"/>
      <c r="T13" s="63"/>
      <c r="U13" s="56">
        <f>SUM(AE:AE)</f>
        <v>0</v>
      </c>
      <c r="V13" s="37"/>
      <c r="Z13" s="22" t="s">
        <v>63</v>
      </c>
      <c r="AA13" s="101">
        <f t="shared" si="3"/>
        <v>0</v>
      </c>
      <c r="AB13" s="40">
        <f t="shared" si="4"/>
        <v>0</v>
      </c>
      <c r="AC13" s="40">
        <f t="shared" si="5"/>
        <v>0</v>
      </c>
      <c r="AD13" s="40">
        <f t="shared" si="6"/>
        <v>0</v>
      </c>
      <c r="AE13" s="40">
        <f t="shared" si="7"/>
        <v>0</v>
      </c>
      <c r="AF13" s="102">
        <f t="shared" si="8"/>
        <v>0</v>
      </c>
    </row>
    <row r="14" spans="1:32" ht="15.75" thickBot="1" x14ac:dyDescent="0.3">
      <c r="A14" s="170"/>
      <c r="B14" s="178"/>
      <c r="C14" s="175"/>
      <c r="D14" s="176">
        <f t="shared" si="0"/>
        <v>0</v>
      </c>
      <c r="E14" s="4"/>
      <c r="F14" s="5"/>
      <c r="G14" s="4"/>
      <c r="H14" s="5"/>
      <c r="I14" s="124"/>
      <c r="J14" s="127"/>
      <c r="K14" s="129"/>
      <c r="L14" s="14"/>
      <c r="M14" s="25">
        <f t="shared" si="1"/>
        <v>0</v>
      </c>
      <c r="N14" s="140">
        <f t="shared" si="2"/>
        <v>0</v>
      </c>
      <c r="O14" s="143"/>
      <c r="Q14" s="51"/>
      <c r="R14" s="57" t="s">
        <v>89</v>
      </c>
      <c r="S14" s="58"/>
      <c r="T14" s="64"/>
      <c r="U14" s="59">
        <f>SUM(AF:AF)</f>
        <v>0</v>
      </c>
      <c r="V14" s="37"/>
      <c r="Z14" s="22" t="s">
        <v>64</v>
      </c>
      <c r="AA14" s="101">
        <f t="shared" si="3"/>
        <v>0</v>
      </c>
      <c r="AB14" s="40">
        <f t="shared" si="4"/>
        <v>0</v>
      </c>
      <c r="AC14" s="40">
        <f t="shared" si="5"/>
        <v>0</v>
      </c>
      <c r="AD14" s="40">
        <f t="shared" si="6"/>
        <v>0</v>
      </c>
      <c r="AE14" s="40">
        <f t="shared" si="7"/>
        <v>0</v>
      </c>
      <c r="AF14" s="102">
        <f t="shared" si="8"/>
        <v>0</v>
      </c>
    </row>
    <row r="15" spans="1:32" ht="15.75" thickBot="1" x14ac:dyDescent="0.3">
      <c r="A15" s="179"/>
      <c r="B15" s="178"/>
      <c r="C15" s="175"/>
      <c r="D15" s="176">
        <f t="shared" si="0"/>
        <v>0</v>
      </c>
      <c r="E15" s="4"/>
      <c r="F15" s="5"/>
      <c r="G15" s="4"/>
      <c r="H15" s="5"/>
      <c r="I15" s="124"/>
      <c r="J15" s="127"/>
      <c r="K15" s="129"/>
      <c r="L15" s="14"/>
      <c r="M15" s="25">
        <f t="shared" si="1"/>
        <v>0</v>
      </c>
      <c r="N15" s="140">
        <f t="shared" si="2"/>
        <v>0</v>
      </c>
      <c r="O15" s="143"/>
      <c r="Q15" s="51"/>
      <c r="R15" s="52"/>
      <c r="S15" s="36"/>
      <c r="T15" s="36"/>
      <c r="U15" s="36"/>
      <c r="V15" s="37"/>
      <c r="Z15" s="22" t="s">
        <v>65</v>
      </c>
      <c r="AA15" s="101">
        <f t="shared" si="3"/>
        <v>0</v>
      </c>
      <c r="AB15" s="40">
        <f t="shared" si="4"/>
        <v>0</v>
      </c>
      <c r="AC15" s="40">
        <f t="shared" si="5"/>
        <v>0</v>
      </c>
      <c r="AD15" s="40">
        <f t="shared" si="6"/>
        <v>0</v>
      </c>
      <c r="AE15" s="40">
        <f t="shared" si="7"/>
        <v>0</v>
      </c>
      <c r="AF15" s="102">
        <f t="shared" si="8"/>
        <v>0</v>
      </c>
    </row>
    <row r="16" spans="1:32" x14ac:dyDescent="0.25">
      <c r="A16" s="179"/>
      <c r="B16" s="178"/>
      <c r="C16" s="175"/>
      <c r="D16" s="180">
        <f t="shared" si="0"/>
        <v>0</v>
      </c>
      <c r="E16" s="4"/>
      <c r="F16" s="5"/>
      <c r="G16" s="4"/>
      <c r="H16" s="5"/>
      <c r="I16" s="124"/>
      <c r="J16" s="127"/>
      <c r="K16" s="129"/>
      <c r="L16" s="14"/>
      <c r="M16" s="25">
        <f t="shared" si="1"/>
        <v>0</v>
      </c>
      <c r="N16" s="140">
        <f t="shared" si="2"/>
        <v>0</v>
      </c>
      <c r="O16" s="143"/>
      <c r="Q16" s="51"/>
      <c r="R16" s="54" t="str">
        <f>I5 &amp; " pax"</f>
        <v>Eiffel Tower pax</v>
      </c>
      <c r="S16" s="55"/>
      <c r="T16" s="63"/>
      <c r="U16" s="56">
        <f>SUM(AC:AC)</f>
        <v>0</v>
      </c>
      <c r="V16" s="37"/>
      <c r="Z16" s="22" t="s">
        <v>66</v>
      </c>
      <c r="AA16" s="101">
        <f t="shared" si="3"/>
        <v>0</v>
      </c>
      <c r="AB16" s="40">
        <f t="shared" si="4"/>
        <v>0</v>
      </c>
      <c r="AC16" s="40">
        <f t="shared" si="5"/>
        <v>0</v>
      </c>
      <c r="AD16" s="40">
        <f t="shared" si="6"/>
        <v>0</v>
      </c>
      <c r="AE16" s="40">
        <f t="shared" si="7"/>
        <v>0</v>
      </c>
      <c r="AF16" s="102">
        <f t="shared" si="8"/>
        <v>0</v>
      </c>
    </row>
    <row r="17" spans="1:32" x14ac:dyDescent="0.25">
      <c r="A17" s="181"/>
      <c r="B17" s="178"/>
      <c r="C17" s="175"/>
      <c r="D17" s="180">
        <f t="shared" si="0"/>
        <v>0</v>
      </c>
      <c r="E17" s="4"/>
      <c r="F17" s="5"/>
      <c r="G17" s="4"/>
      <c r="H17" s="5"/>
      <c r="I17" s="124"/>
      <c r="J17" s="127"/>
      <c r="K17" s="129"/>
      <c r="L17" s="14"/>
      <c r="M17" s="25">
        <f t="shared" si="1"/>
        <v>0</v>
      </c>
      <c r="N17" s="140">
        <f t="shared" si="2"/>
        <v>0</v>
      </c>
      <c r="O17" s="143"/>
      <c r="Q17" s="51"/>
      <c r="R17" s="60" t="str">
        <f>I5 &amp; " Revenue"</f>
        <v>Eiffel Tower Revenue</v>
      </c>
      <c r="S17" s="61"/>
      <c r="T17" s="65"/>
      <c r="U17" s="62">
        <f>SUM(AD:AD)</f>
        <v>0</v>
      </c>
      <c r="V17" s="37"/>
      <c r="Z17" s="22" t="s">
        <v>67</v>
      </c>
      <c r="AA17" s="101">
        <f t="shared" si="3"/>
        <v>0</v>
      </c>
      <c r="AB17" s="40">
        <f t="shared" si="4"/>
        <v>0</v>
      </c>
      <c r="AC17" s="40">
        <f t="shared" si="5"/>
        <v>0</v>
      </c>
      <c r="AD17" s="40">
        <f t="shared" si="6"/>
        <v>0</v>
      </c>
      <c r="AE17" s="40">
        <f t="shared" si="7"/>
        <v>0</v>
      </c>
      <c r="AF17" s="102">
        <f t="shared" si="8"/>
        <v>0</v>
      </c>
    </row>
    <row r="18" spans="1:32" ht="15.75" thickBot="1" x14ac:dyDescent="0.3">
      <c r="A18" s="181"/>
      <c r="B18" s="178"/>
      <c r="C18" s="175"/>
      <c r="D18" s="180">
        <f t="shared" si="0"/>
        <v>0</v>
      </c>
      <c r="E18" s="4"/>
      <c r="F18" s="5"/>
      <c r="G18" s="4"/>
      <c r="H18" s="5"/>
      <c r="I18" s="124"/>
      <c r="J18" s="127"/>
      <c r="K18" s="129"/>
      <c r="L18" s="14"/>
      <c r="M18" s="25">
        <f t="shared" si="1"/>
        <v>0</v>
      </c>
      <c r="N18" s="140">
        <f t="shared" si="2"/>
        <v>0</v>
      </c>
      <c r="O18" s="143"/>
      <c r="Q18" s="51"/>
      <c r="R18" s="52"/>
      <c r="S18" s="36"/>
      <c r="T18" s="36"/>
      <c r="U18" s="36"/>
      <c r="V18" s="37"/>
      <c r="Z18" s="22" t="s">
        <v>68</v>
      </c>
      <c r="AA18" s="101">
        <f t="shared" si="3"/>
        <v>0</v>
      </c>
      <c r="AB18" s="40">
        <f t="shared" si="4"/>
        <v>0</v>
      </c>
      <c r="AC18" s="40">
        <f t="shared" si="5"/>
        <v>0</v>
      </c>
      <c r="AD18" s="40">
        <f t="shared" si="6"/>
        <v>0</v>
      </c>
      <c r="AE18" s="40">
        <f t="shared" si="7"/>
        <v>0</v>
      </c>
      <c r="AF18" s="102">
        <f t="shared" si="8"/>
        <v>0</v>
      </c>
    </row>
    <row r="19" spans="1:32" x14ac:dyDescent="0.25">
      <c r="A19" s="181"/>
      <c r="B19" s="178"/>
      <c r="C19" s="175"/>
      <c r="D19" s="180">
        <f t="shared" si="0"/>
        <v>0</v>
      </c>
      <c r="E19" s="4"/>
      <c r="F19" s="5"/>
      <c r="G19" s="4"/>
      <c r="H19" s="5"/>
      <c r="I19" s="124"/>
      <c r="J19" s="127"/>
      <c r="K19" s="129"/>
      <c r="L19" s="14"/>
      <c r="M19" s="25">
        <f t="shared" si="1"/>
        <v>0</v>
      </c>
      <c r="N19" s="140">
        <f t="shared" si="2"/>
        <v>0</v>
      </c>
      <c r="O19" s="143"/>
      <c r="Q19" s="51"/>
      <c r="R19" s="54" t="s">
        <v>85</v>
      </c>
      <c r="S19" s="55"/>
      <c r="T19" s="63"/>
      <c r="U19" s="56">
        <f>SUM(C7:C70)</f>
        <v>0</v>
      </c>
      <c r="V19" s="37"/>
      <c r="AA19" s="101">
        <f t="shared" si="3"/>
        <v>0</v>
      </c>
      <c r="AB19" s="40">
        <f t="shared" si="4"/>
        <v>0</v>
      </c>
      <c r="AC19" s="40">
        <f t="shared" si="5"/>
        <v>0</v>
      </c>
      <c r="AD19" s="40">
        <f t="shared" si="6"/>
        <v>0</v>
      </c>
      <c r="AE19" s="40">
        <f t="shared" si="7"/>
        <v>0</v>
      </c>
      <c r="AF19" s="102">
        <f t="shared" si="8"/>
        <v>0</v>
      </c>
    </row>
    <row r="20" spans="1:32" x14ac:dyDescent="0.25">
      <c r="A20" s="181"/>
      <c r="B20" s="178"/>
      <c r="C20" s="175"/>
      <c r="D20" s="180">
        <f t="shared" si="0"/>
        <v>0</v>
      </c>
      <c r="E20" s="4"/>
      <c r="F20" s="5"/>
      <c r="G20" s="4"/>
      <c r="H20" s="5"/>
      <c r="I20" s="124"/>
      <c r="J20" s="127"/>
      <c r="K20" s="129"/>
      <c r="L20" s="14"/>
      <c r="M20" s="25">
        <f t="shared" si="1"/>
        <v>0</v>
      </c>
      <c r="N20" s="140">
        <f t="shared" si="2"/>
        <v>0</v>
      </c>
      <c r="O20" s="143"/>
      <c r="Q20" s="135"/>
      <c r="R20" s="60" t="s">
        <v>84</v>
      </c>
      <c r="S20" s="61"/>
      <c r="T20" s="65"/>
      <c r="U20" s="62">
        <f>SUM(N7:N70)</f>
        <v>0</v>
      </c>
      <c r="V20" s="135"/>
      <c r="AA20" s="101">
        <f t="shared" si="3"/>
        <v>0</v>
      </c>
      <c r="AB20" s="40">
        <f t="shared" si="4"/>
        <v>0</v>
      </c>
      <c r="AC20" s="40">
        <f t="shared" si="5"/>
        <v>0</v>
      </c>
      <c r="AD20" s="40">
        <f t="shared" si="6"/>
        <v>0</v>
      </c>
      <c r="AE20" s="40">
        <f t="shared" si="7"/>
        <v>0</v>
      </c>
      <c r="AF20" s="102">
        <f t="shared" si="8"/>
        <v>0</v>
      </c>
    </row>
    <row r="21" spans="1:32" ht="15.75" thickBot="1" x14ac:dyDescent="0.3">
      <c r="A21" s="181"/>
      <c r="B21" s="178"/>
      <c r="C21" s="175"/>
      <c r="D21" s="180">
        <f t="shared" si="0"/>
        <v>0</v>
      </c>
      <c r="E21" s="4"/>
      <c r="F21" s="5"/>
      <c r="G21" s="4"/>
      <c r="H21" s="5"/>
      <c r="I21" s="124"/>
      <c r="J21" s="127"/>
      <c r="K21" s="129"/>
      <c r="L21" s="14"/>
      <c r="M21" s="25">
        <f t="shared" si="1"/>
        <v>0</v>
      </c>
      <c r="N21" s="140">
        <f t="shared" si="2"/>
        <v>0</v>
      </c>
      <c r="O21" s="143"/>
      <c r="Q21" s="51"/>
      <c r="R21" s="57" t="s">
        <v>92</v>
      </c>
      <c r="S21" s="58"/>
      <c r="T21" s="64"/>
      <c r="U21" s="59">
        <f>U20*1.15</f>
        <v>0</v>
      </c>
      <c r="V21" s="37"/>
      <c r="AA21" s="101">
        <f t="shared" si="3"/>
        <v>0</v>
      </c>
      <c r="AB21" s="40">
        <f t="shared" si="4"/>
        <v>0</v>
      </c>
      <c r="AC21" s="40">
        <f t="shared" si="5"/>
        <v>0</v>
      </c>
      <c r="AD21" s="40">
        <f t="shared" si="6"/>
        <v>0</v>
      </c>
      <c r="AE21" s="40">
        <f t="shared" si="7"/>
        <v>0</v>
      </c>
      <c r="AF21" s="102">
        <f t="shared" si="8"/>
        <v>0</v>
      </c>
    </row>
    <row r="22" spans="1:32" ht="15.75" thickBot="1" x14ac:dyDescent="0.3">
      <c r="A22" s="181"/>
      <c r="B22" s="178"/>
      <c r="C22" s="175"/>
      <c r="D22" s="180">
        <f t="shared" si="0"/>
        <v>0</v>
      </c>
      <c r="E22" s="4"/>
      <c r="F22" s="5"/>
      <c r="G22" s="4"/>
      <c r="H22" s="5"/>
      <c r="I22" s="124"/>
      <c r="J22" s="127"/>
      <c r="K22" s="129"/>
      <c r="L22" s="14"/>
      <c r="M22" s="25">
        <f t="shared" si="1"/>
        <v>0</v>
      </c>
      <c r="N22" s="140">
        <f t="shared" si="2"/>
        <v>0</v>
      </c>
      <c r="O22" s="143"/>
      <c r="Q22" s="53"/>
      <c r="R22" s="38"/>
      <c r="S22" s="38"/>
      <c r="T22" s="38"/>
      <c r="U22" s="38"/>
      <c r="V22" s="39"/>
      <c r="AA22" s="101">
        <f t="shared" si="3"/>
        <v>0</v>
      </c>
      <c r="AB22" s="40">
        <f t="shared" si="4"/>
        <v>0</v>
      </c>
      <c r="AC22" s="40">
        <f t="shared" si="5"/>
        <v>0</v>
      </c>
      <c r="AD22" s="40">
        <f t="shared" si="6"/>
        <v>0</v>
      </c>
      <c r="AE22" s="40">
        <f t="shared" si="7"/>
        <v>0</v>
      </c>
      <c r="AF22" s="102">
        <f t="shared" si="8"/>
        <v>0</v>
      </c>
    </row>
    <row r="23" spans="1:32" x14ac:dyDescent="0.25">
      <c r="A23" s="181"/>
      <c r="B23" s="178"/>
      <c r="C23" s="175"/>
      <c r="D23" s="180">
        <f t="shared" si="0"/>
        <v>0</v>
      </c>
      <c r="E23" s="4"/>
      <c r="F23" s="5"/>
      <c r="G23" s="4"/>
      <c r="H23" s="5"/>
      <c r="I23" s="124"/>
      <c r="J23" s="127"/>
      <c r="K23" s="129"/>
      <c r="L23" s="14"/>
      <c r="M23" s="25">
        <f t="shared" si="1"/>
        <v>0</v>
      </c>
      <c r="N23" s="140">
        <f t="shared" si="2"/>
        <v>0</v>
      </c>
      <c r="O23" s="143"/>
      <c r="AA23" s="101">
        <f t="shared" si="3"/>
        <v>0</v>
      </c>
      <c r="AB23" s="40">
        <f t="shared" si="4"/>
        <v>0</v>
      </c>
      <c r="AC23" s="40">
        <f t="shared" si="5"/>
        <v>0</v>
      </c>
      <c r="AD23" s="40">
        <f t="shared" si="6"/>
        <v>0</v>
      </c>
      <c r="AE23" s="40">
        <f t="shared" si="7"/>
        <v>0</v>
      </c>
      <c r="AF23" s="102">
        <f t="shared" si="8"/>
        <v>0</v>
      </c>
    </row>
    <row r="24" spans="1:32" x14ac:dyDescent="0.25">
      <c r="A24" s="181"/>
      <c r="B24" s="178"/>
      <c r="C24" s="175"/>
      <c r="D24" s="176">
        <f t="shared" si="0"/>
        <v>0</v>
      </c>
      <c r="E24" s="4"/>
      <c r="F24" s="5"/>
      <c r="G24" s="4"/>
      <c r="H24" s="5"/>
      <c r="I24" s="124"/>
      <c r="J24" s="127"/>
      <c r="K24" s="129"/>
      <c r="L24" s="14"/>
      <c r="M24" s="25">
        <f t="shared" si="1"/>
        <v>0</v>
      </c>
      <c r="N24" s="140">
        <f t="shared" si="2"/>
        <v>0</v>
      </c>
      <c r="O24" s="143"/>
      <c r="AA24" s="101">
        <f t="shared" si="3"/>
        <v>0</v>
      </c>
      <c r="AB24" s="40">
        <f t="shared" si="4"/>
        <v>0</v>
      </c>
      <c r="AC24" s="40">
        <f t="shared" si="5"/>
        <v>0</v>
      </c>
      <c r="AD24" s="40">
        <f t="shared" si="6"/>
        <v>0</v>
      </c>
      <c r="AE24" s="40">
        <f t="shared" si="7"/>
        <v>0</v>
      </c>
      <c r="AF24" s="102">
        <f t="shared" si="8"/>
        <v>0</v>
      </c>
    </row>
    <row r="25" spans="1:32" x14ac:dyDescent="0.25">
      <c r="A25" s="181"/>
      <c r="B25" s="178"/>
      <c r="C25" s="175"/>
      <c r="D25" s="180">
        <f t="shared" si="0"/>
        <v>0</v>
      </c>
      <c r="E25" s="4"/>
      <c r="F25" s="5"/>
      <c r="G25" s="4"/>
      <c r="H25" s="5"/>
      <c r="I25" s="124"/>
      <c r="J25" s="127"/>
      <c r="K25" s="129"/>
      <c r="L25" s="14"/>
      <c r="M25" s="25">
        <f t="shared" si="1"/>
        <v>0</v>
      </c>
      <c r="N25" s="140">
        <f t="shared" si="2"/>
        <v>0</v>
      </c>
      <c r="O25" s="143"/>
      <c r="AA25" s="101">
        <f t="shared" si="3"/>
        <v>0</v>
      </c>
      <c r="AB25" s="40">
        <f t="shared" si="4"/>
        <v>0</v>
      </c>
      <c r="AC25" s="40">
        <f t="shared" si="5"/>
        <v>0</v>
      </c>
      <c r="AD25" s="40">
        <f t="shared" si="6"/>
        <v>0</v>
      </c>
      <c r="AE25" s="40">
        <f t="shared" si="7"/>
        <v>0</v>
      </c>
      <c r="AF25" s="102">
        <f t="shared" si="8"/>
        <v>0</v>
      </c>
    </row>
    <row r="26" spans="1:32" x14ac:dyDescent="0.25">
      <c r="A26" s="181"/>
      <c r="B26" s="178"/>
      <c r="C26" s="175"/>
      <c r="D26" s="180">
        <f t="shared" si="0"/>
        <v>0</v>
      </c>
      <c r="E26" s="4"/>
      <c r="F26" s="5"/>
      <c r="G26" s="4"/>
      <c r="H26" s="5"/>
      <c r="I26" s="124"/>
      <c r="J26" s="127"/>
      <c r="K26" s="129"/>
      <c r="L26" s="14"/>
      <c r="M26" s="25">
        <f t="shared" si="1"/>
        <v>0</v>
      </c>
      <c r="N26" s="140">
        <f t="shared" si="2"/>
        <v>0</v>
      </c>
      <c r="O26" s="143"/>
      <c r="AA26" s="101">
        <f t="shared" si="3"/>
        <v>0</v>
      </c>
      <c r="AB26" s="40">
        <f t="shared" si="4"/>
        <v>0</v>
      </c>
      <c r="AC26" s="40">
        <f t="shared" si="5"/>
        <v>0</v>
      </c>
      <c r="AD26" s="40">
        <f t="shared" si="6"/>
        <v>0</v>
      </c>
      <c r="AE26" s="40">
        <f t="shared" si="7"/>
        <v>0</v>
      </c>
      <c r="AF26" s="102">
        <f t="shared" si="8"/>
        <v>0</v>
      </c>
    </row>
    <row r="27" spans="1:32" x14ac:dyDescent="0.25">
      <c r="A27" s="181"/>
      <c r="B27" s="178"/>
      <c r="C27" s="175"/>
      <c r="D27" s="180">
        <f t="shared" si="0"/>
        <v>0</v>
      </c>
      <c r="E27" s="4"/>
      <c r="F27" s="5"/>
      <c r="G27" s="4"/>
      <c r="H27" s="5"/>
      <c r="I27" s="124"/>
      <c r="J27" s="127"/>
      <c r="K27" s="129"/>
      <c r="L27" s="14"/>
      <c r="M27" s="25">
        <f t="shared" si="1"/>
        <v>0</v>
      </c>
      <c r="N27" s="140">
        <f t="shared" si="2"/>
        <v>0</v>
      </c>
      <c r="O27" s="143"/>
      <c r="AA27" s="101">
        <f t="shared" si="3"/>
        <v>0</v>
      </c>
      <c r="AB27" s="40">
        <f t="shared" si="4"/>
        <v>0</v>
      </c>
      <c r="AC27" s="40">
        <f t="shared" si="5"/>
        <v>0</v>
      </c>
      <c r="AD27" s="40">
        <f t="shared" si="6"/>
        <v>0</v>
      </c>
      <c r="AE27" s="40">
        <f t="shared" si="7"/>
        <v>0</v>
      </c>
      <c r="AF27" s="102">
        <f t="shared" si="8"/>
        <v>0</v>
      </c>
    </row>
    <row r="28" spans="1:32" x14ac:dyDescent="0.25">
      <c r="A28" s="181"/>
      <c r="B28" s="178"/>
      <c r="C28" s="175"/>
      <c r="D28" s="180">
        <f t="shared" si="0"/>
        <v>0</v>
      </c>
      <c r="E28" s="4"/>
      <c r="F28" s="5"/>
      <c r="G28" s="4"/>
      <c r="H28" s="5"/>
      <c r="I28" s="124"/>
      <c r="J28" s="127"/>
      <c r="K28" s="129"/>
      <c r="L28" s="14"/>
      <c r="M28" s="25">
        <f t="shared" si="1"/>
        <v>0</v>
      </c>
      <c r="N28" s="140">
        <f t="shared" si="2"/>
        <v>0</v>
      </c>
      <c r="O28" s="143"/>
      <c r="AA28" s="101">
        <f t="shared" si="3"/>
        <v>0</v>
      </c>
      <c r="AB28" s="40">
        <f t="shared" si="4"/>
        <v>0</v>
      </c>
      <c r="AC28" s="40">
        <f t="shared" si="5"/>
        <v>0</v>
      </c>
      <c r="AD28" s="40">
        <f t="shared" si="6"/>
        <v>0</v>
      </c>
      <c r="AE28" s="40">
        <f t="shared" si="7"/>
        <v>0</v>
      </c>
      <c r="AF28" s="102">
        <f t="shared" si="8"/>
        <v>0</v>
      </c>
    </row>
    <row r="29" spans="1:32" x14ac:dyDescent="0.25">
      <c r="A29" s="181"/>
      <c r="B29" s="178"/>
      <c r="C29" s="175"/>
      <c r="D29" s="180">
        <f t="shared" si="0"/>
        <v>0</v>
      </c>
      <c r="E29" s="4"/>
      <c r="F29" s="5"/>
      <c r="G29" s="4"/>
      <c r="H29" s="5"/>
      <c r="I29" s="124"/>
      <c r="J29" s="127"/>
      <c r="K29" s="129"/>
      <c r="L29" s="14"/>
      <c r="M29" s="25">
        <f t="shared" si="1"/>
        <v>0</v>
      </c>
      <c r="N29" s="140">
        <f t="shared" si="2"/>
        <v>0</v>
      </c>
      <c r="O29" s="143"/>
      <c r="AA29" s="101">
        <f t="shared" si="3"/>
        <v>0</v>
      </c>
      <c r="AB29" s="40">
        <f t="shared" si="4"/>
        <v>0</v>
      </c>
      <c r="AC29" s="40">
        <f t="shared" si="5"/>
        <v>0</v>
      </c>
      <c r="AD29" s="40">
        <f t="shared" si="6"/>
        <v>0</v>
      </c>
      <c r="AE29" s="40">
        <f t="shared" si="7"/>
        <v>0</v>
      </c>
      <c r="AF29" s="102">
        <f t="shared" si="8"/>
        <v>0</v>
      </c>
    </row>
    <row r="30" spans="1:32" x14ac:dyDescent="0.25">
      <c r="A30" s="181"/>
      <c r="B30" s="178"/>
      <c r="C30" s="175"/>
      <c r="D30" s="180">
        <f t="shared" si="0"/>
        <v>0</v>
      </c>
      <c r="E30" s="4"/>
      <c r="F30" s="5"/>
      <c r="G30" s="4"/>
      <c r="H30" s="5"/>
      <c r="I30" s="124"/>
      <c r="J30" s="127"/>
      <c r="K30" s="129"/>
      <c r="L30" s="14"/>
      <c r="M30" s="25">
        <f t="shared" si="1"/>
        <v>0</v>
      </c>
      <c r="N30" s="140">
        <f t="shared" si="2"/>
        <v>0</v>
      </c>
      <c r="O30" s="143"/>
      <c r="AA30" s="101">
        <f t="shared" si="3"/>
        <v>0</v>
      </c>
      <c r="AB30" s="40">
        <f t="shared" si="4"/>
        <v>0</v>
      </c>
      <c r="AC30" s="40">
        <f t="shared" si="5"/>
        <v>0</v>
      </c>
      <c r="AD30" s="40">
        <f t="shared" si="6"/>
        <v>0</v>
      </c>
      <c r="AE30" s="40">
        <f t="shared" si="7"/>
        <v>0</v>
      </c>
      <c r="AF30" s="102">
        <f t="shared" si="8"/>
        <v>0</v>
      </c>
    </row>
    <row r="31" spans="1:32" x14ac:dyDescent="0.25">
      <c r="A31" s="181"/>
      <c r="B31" s="178"/>
      <c r="C31" s="175"/>
      <c r="D31" s="180">
        <f t="shared" si="0"/>
        <v>0</v>
      </c>
      <c r="E31" s="4"/>
      <c r="F31" s="5"/>
      <c r="G31" s="4"/>
      <c r="H31" s="5"/>
      <c r="I31" s="124"/>
      <c r="J31" s="127"/>
      <c r="K31" s="129"/>
      <c r="L31" s="14"/>
      <c r="M31" s="25">
        <f t="shared" si="1"/>
        <v>0</v>
      </c>
      <c r="N31" s="140">
        <f t="shared" si="2"/>
        <v>0</v>
      </c>
      <c r="O31" s="143"/>
      <c r="AA31" s="101">
        <f t="shared" si="3"/>
        <v>0</v>
      </c>
      <c r="AB31" s="40">
        <f t="shared" si="4"/>
        <v>0</v>
      </c>
      <c r="AC31" s="40">
        <f t="shared" si="5"/>
        <v>0</v>
      </c>
      <c r="AD31" s="40">
        <f t="shared" si="6"/>
        <v>0</v>
      </c>
      <c r="AE31" s="40">
        <f t="shared" si="7"/>
        <v>0</v>
      </c>
      <c r="AF31" s="102">
        <f t="shared" si="8"/>
        <v>0</v>
      </c>
    </row>
    <row r="32" spans="1:32" x14ac:dyDescent="0.25">
      <c r="A32" s="181"/>
      <c r="B32" s="178"/>
      <c r="C32" s="175"/>
      <c r="D32" s="180">
        <f t="shared" si="0"/>
        <v>0</v>
      </c>
      <c r="E32" s="4"/>
      <c r="F32" s="5"/>
      <c r="G32" s="4"/>
      <c r="H32" s="5"/>
      <c r="I32" s="124"/>
      <c r="J32" s="127"/>
      <c r="K32" s="129"/>
      <c r="L32" s="14"/>
      <c r="M32" s="25">
        <f t="shared" si="1"/>
        <v>0</v>
      </c>
      <c r="N32" s="140">
        <f t="shared" si="2"/>
        <v>0</v>
      </c>
      <c r="O32" s="143"/>
      <c r="AA32" s="101">
        <f t="shared" si="3"/>
        <v>0</v>
      </c>
      <c r="AB32" s="40">
        <f t="shared" si="4"/>
        <v>0</v>
      </c>
      <c r="AC32" s="40">
        <f t="shared" si="5"/>
        <v>0</v>
      </c>
      <c r="AD32" s="40">
        <f t="shared" si="6"/>
        <v>0</v>
      </c>
      <c r="AE32" s="40">
        <f t="shared" si="7"/>
        <v>0</v>
      </c>
      <c r="AF32" s="102">
        <f t="shared" si="8"/>
        <v>0</v>
      </c>
    </row>
    <row r="33" spans="1:32" x14ac:dyDescent="0.25">
      <c r="A33" s="181"/>
      <c r="B33" s="178"/>
      <c r="C33" s="175"/>
      <c r="D33" s="180">
        <f t="shared" si="0"/>
        <v>0</v>
      </c>
      <c r="E33" s="4"/>
      <c r="F33" s="5"/>
      <c r="G33" s="4"/>
      <c r="H33" s="5"/>
      <c r="I33" s="124"/>
      <c r="J33" s="127"/>
      <c r="K33" s="129"/>
      <c r="L33" s="14"/>
      <c r="M33" s="25">
        <f t="shared" si="1"/>
        <v>0</v>
      </c>
      <c r="N33" s="140">
        <f t="shared" si="2"/>
        <v>0</v>
      </c>
      <c r="O33" s="143"/>
      <c r="AA33" s="101">
        <f t="shared" si="3"/>
        <v>0</v>
      </c>
      <c r="AB33" s="40">
        <f t="shared" si="4"/>
        <v>0</v>
      </c>
      <c r="AC33" s="40">
        <f t="shared" si="5"/>
        <v>0</v>
      </c>
      <c r="AD33" s="40">
        <f t="shared" si="6"/>
        <v>0</v>
      </c>
      <c r="AE33" s="40">
        <f t="shared" si="7"/>
        <v>0</v>
      </c>
      <c r="AF33" s="102">
        <f t="shared" si="8"/>
        <v>0</v>
      </c>
    </row>
    <row r="34" spans="1:32" x14ac:dyDescent="0.25">
      <c r="A34" s="181"/>
      <c r="B34" s="178"/>
      <c r="C34" s="175"/>
      <c r="D34" s="180">
        <f t="shared" si="0"/>
        <v>0</v>
      </c>
      <c r="E34" s="4"/>
      <c r="F34" s="5"/>
      <c r="G34" s="4"/>
      <c r="H34" s="5"/>
      <c r="I34" s="124"/>
      <c r="J34" s="127"/>
      <c r="K34" s="129"/>
      <c r="L34" s="14"/>
      <c r="M34" s="25">
        <f t="shared" si="1"/>
        <v>0</v>
      </c>
      <c r="N34" s="140">
        <f t="shared" si="2"/>
        <v>0</v>
      </c>
      <c r="O34" s="143"/>
      <c r="AA34" s="101">
        <f t="shared" si="3"/>
        <v>0</v>
      </c>
      <c r="AB34" s="40">
        <f t="shared" si="4"/>
        <v>0</v>
      </c>
      <c r="AC34" s="40">
        <f t="shared" si="5"/>
        <v>0</v>
      </c>
      <c r="AD34" s="40">
        <f t="shared" si="6"/>
        <v>0</v>
      </c>
      <c r="AE34" s="40">
        <f t="shared" si="7"/>
        <v>0</v>
      </c>
      <c r="AF34" s="102">
        <f t="shared" si="8"/>
        <v>0</v>
      </c>
    </row>
    <row r="35" spans="1:32" x14ac:dyDescent="0.25">
      <c r="A35" s="181"/>
      <c r="B35" s="178"/>
      <c r="C35" s="175"/>
      <c r="D35" s="180">
        <f t="shared" si="0"/>
        <v>0</v>
      </c>
      <c r="E35" s="4"/>
      <c r="F35" s="5"/>
      <c r="G35" s="4"/>
      <c r="H35" s="5"/>
      <c r="I35" s="124"/>
      <c r="J35" s="127"/>
      <c r="K35" s="129"/>
      <c r="L35" s="14"/>
      <c r="M35" s="25">
        <f t="shared" si="1"/>
        <v>0</v>
      </c>
      <c r="N35" s="140">
        <f t="shared" si="2"/>
        <v>0</v>
      </c>
      <c r="O35" s="143"/>
      <c r="AA35" s="101">
        <f t="shared" si="3"/>
        <v>0</v>
      </c>
      <c r="AB35" s="40">
        <f t="shared" si="4"/>
        <v>0</v>
      </c>
      <c r="AC35" s="40">
        <f t="shared" si="5"/>
        <v>0</v>
      </c>
      <c r="AD35" s="40">
        <f t="shared" si="6"/>
        <v>0</v>
      </c>
      <c r="AE35" s="40">
        <f t="shared" si="7"/>
        <v>0</v>
      </c>
      <c r="AF35" s="102">
        <f t="shared" si="8"/>
        <v>0</v>
      </c>
    </row>
    <row r="36" spans="1:32" x14ac:dyDescent="0.25">
      <c r="A36" s="181"/>
      <c r="B36" s="178"/>
      <c r="C36" s="175"/>
      <c r="D36" s="176">
        <f t="shared" si="0"/>
        <v>0</v>
      </c>
      <c r="E36" s="4"/>
      <c r="F36" s="5"/>
      <c r="G36" s="4"/>
      <c r="H36" s="5"/>
      <c r="I36" s="124"/>
      <c r="J36" s="127"/>
      <c r="K36" s="129"/>
      <c r="L36" s="14"/>
      <c r="M36" s="25">
        <f t="shared" si="1"/>
        <v>0</v>
      </c>
      <c r="N36" s="140">
        <f t="shared" si="2"/>
        <v>0</v>
      </c>
      <c r="O36" s="143"/>
      <c r="AA36" s="101">
        <f t="shared" si="3"/>
        <v>0</v>
      </c>
      <c r="AB36" s="40">
        <f t="shared" si="4"/>
        <v>0</v>
      </c>
      <c r="AC36" s="40">
        <f t="shared" si="5"/>
        <v>0</v>
      </c>
      <c r="AD36" s="40">
        <f t="shared" si="6"/>
        <v>0</v>
      </c>
      <c r="AE36" s="40">
        <f t="shared" si="7"/>
        <v>0</v>
      </c>
      <c r="AF36" s="102">
        <f t="shared" si="8"/>
        <v>0</v>
      </c>
    </row>
    <row r="37" spans="1:32" x14ac:dyDescent="0.25">
      <c r="A37" s="181"/>
      <c r="B37" s="178"/>
      <c r="C37" s="175"/>
      <c r="D37" s="180">
        <f t="shared" si="0"/>
        <v>0</v>
      </c>
      <c r="E37" s="4"/>
      <c r="F37" s="5"/>
      <c r="G37" s="4"/>
      <c r="H37" s="5"/>
      <c r="I37" s="124"/>
      <c r="J37" s="127"/>
      <c r="K37" s="129"/>
      <c r="L37" s="14"/>
      <c r="M37" s="25">
        <f t="shared" si="1"/>
        <v>0</v>
      </c>
      <c r="N37" s="140">
        <f t="shared" si="2"/>
        <v>0</v>
      </c>
      <c r="O37" s="143"/>
      <c r="AA37" s="101">
        <f t="shared" si="3"/>
        <v>0</v>
      </c>
      <c r="AB37" s="40">
        <f t="shared" si="4"/>
        <v>0</v>
      </c>
      <c r="AC37" s="40">
        <f t="shared" si="5"/>
        <v>0</v>
      </c>
      <c r="AD37" s="40">
        <f t="shared" si="6"/>
        <v>0</v>
      </c>
      <c r="AE37" s="40">
        <f t="shared" si="7"/>
        <v>0</v>
      </c>
      <c r="AF37" s="102">
        <f t="shared" si="8"/>
        <v>0</v>
      </c>
    </row>
    <row r="38" spans="1:32" x14ac:dyDescent="0.25">
      <c r="A38" s="181"/>
      <c r="B38" s="178"/>
      <c r="C38" s="175"/>
      <c r="D38" s="180">
        <f t="shared" si="0"/>
        <v>0</v>
      </c>
      <c r="E38" s="4"/>
      <c r="F38" s="5"/>
      <c r="G38" s="4"/>
      <c r="H38" s="5"/>
      <c r="I38" s="124"/>
      <c r="J38" s="127"/>
      <c r="K38" s="129"/>
      <c r="L38" s="14"/>
      <c r="M38" s="25">
        <f t="shared" si="1"/>
        <v>0</v>
      </c>
      <c r="N38" s="140">
        <f t="shared" si="2"/>
        <v>0</v>
      </c>
      <c r="O38" s="143"/>
      <c r="AA38" s="101">
        <f t="shared" si="3"/>
        <v>0</v>
      </c>
      <c r="AB38" s="40">
        <f t="shared" si="4"/>
        <v>0</v>
      </c>
      <c r="AC38" s="40">
        <f t="shared" si="5"/>
        <v>0</v>
      </c>
      <c r="AD38" s="40">
        <f t="shared" si="6"/>
        <v>0</v>
      </c>
      <c r="AE38" s="40">
        <f t="shared" si="7"/>
        <v>0</v>
      </c>
      <c r="AF38" s="102">
        <f t="shared" si="8"/>
        <v>0</v>
      </c>
    </row>
    <row r="39" spans="1:32" x14ac:dyDescent="0.25">
      <c r="A39" s="181"/>
      <c r="B39" s="178"/>
      <c r="C39" s="175"/>
      <c r="D39" s="180">
        <f t="shared" ref="D39:D70" si="9">L39+(E39*F39)+(G39*H39)+(I39*J39)</f>
        <v>0</v>
      </c>
      <c r="E39" s="4"/>
      <c r="F39" s="5"/>
      <c r="G39" s="4"/>
      <c r="H39" s="5"/>
      <c r="I39" s="124"/>
      <c r="J39" s="127"/>
      <c r="K39" s="129"/>
      <c r="L39" s="14"/>
      <c r="M39" s="25">
        <f t="shared" ref="M39:M60" si="10">L39*C39</f>
        <v>0</v>
      </c>
      <c r="N39" s="140">
        <f t="shared" ref="N39:N60" si="11">C39*D39</f>
        <v>0</v>
      </c>
      <c r="O39" s="143"/>
      <c r="AA39" s="101">
        <f t="shared" ref="AA39:AA60" si="12">C39*E39</f>
        <v>0</v>
      </c>
      <c r="AB39" s="40">
        <f t="shared" ref="AB39:AB60" si="13">(C39*E39)*F39</f>
        <v>0</v>
      </c>
      <c r="AC39" s="40">
        <f t="shared" ref="AC39:AC60" si="14">C39*I39</f>
        <v>0</v>
      </c>
      <c r="AD39" s="40">
        <f t="shared" ref="AD39:AD60" si="15">(C39*I39)*J39</f>
        <v>0</v>
      </c>
      <c r="AE39" s="40">
        <f t="shared" ref="AE39:AE60" si="16">C39*G39</f>
        <v>0</v>
      </c>
      <c r="AF39" s="102">
        <f t="shared" ref="AF39:AF60" si="17">(C39*G39)*H39</f>
        <v>0</v>
      </c>
    </row>
    <row r="40" spans="1:32" x14ac:dyDescent="0.25">
      <c r="A40" s="181"/>
      <c r="B40" s="178"/>
      <c r="C40" s="175"/>
      <c r="D40" s="180">
        <f t="shared" si="9"/>
        <v>0</v>
      </c>
      <c r="E40" s="4"/>
      <c r="F40" s="5"/>
      <c r="G40" s="4"/>
      <c r="H40" s="5"/>
      <c r="I40" s="124"/>
      <c r="J40" s="127"/>
      <c r="K40" s="129"/>
      <c r="L40" s="14"/>
      <c r="M40" s="25">
        <f t="shared" si="10"/>
        <v>0</v>
      </c>
      <c r="N40" s="140">
        <f t="shared" si="11"/>
        <v>0</v>
      </c>
      <c r="O40" s="143"/>
      <c r="AA40" s="101">
        <f t="shared" si="12"/>
        <v>0</v>
      </c>
      <c r="AB40" s="40">
        <f t="shared" si="13"/>
        <v>0</v>
      </c>
      <c r="AC40" s="40">
        <f t="shared" si="14"/>
        <v>0</v>
      </c>
      <c r="AD40" s="40">
        <f t="shared" si="15"/>
        <v>0</v>
      </c>
      <c r="AE40" s="40">
        <f t="shared" si="16"/>
        <v>0</v>
      </c>
      <c r="AF40" s="102">
        <f t="shared" si="17"/>
        <v>0</v>
      </c>
    </row>
    <row r="41" spans="1:32" x14ac:dyDescent="0.25">
      <c r="A41" s="181"/>
      <c r="B41" s="178"/>
      <c r="C41" s="175"/>
      <c r="D41" s="180">
        <f t="shared" si="9"/>
        <v>0</v>
      </c>
      <c r="E41" s="4"/>
      <c r="F41" s="5"/>
      <c r="G41" s="4"/>
      <c r="H41" s="5"/>
      <c r="I41" s="124"/>
      <c r="J41" s="127"/>
      <c r="K41" s="129"/>
      <c r="L41" s="14"/>
      <c r="M41" s="25">
        <f t="shared" si="10"/>
        <v>0</v>
      </c>
      <c r="N41" s="140">
        <f t="shared" si="11"/>
        <v>0</v>
      </c>
      <c r="O41" s="143"/>
      <c r="AA41" s="101">
        <f t="shared" si="12"/>
        <v>0</v>
      </c>
      <c r="AB41" s="40">
        <f t="shared" si="13"/>
        <v>0</v>
      </c>
      <c r="AC41" s="40">
        <f t="shared" si="14"/>
        <v>0</v>
      </c>
      <c r="AD41" s="40">
        <f t="shared" si="15"/>
        <v>0</v>
      </c>
      <c r="AE41" s="40">
        <f t="shared" si="16"/>
        <v>0</v>
      </c>
      <c r="AF41" s="102">
        <f t="shared" si="17"/>
        <v>0</v>
      </c>
    </row>
    <row r="42" spans="1:32" x14ac:dyDescent="0.25">
      <c r="A42" s="181"/>
      <c r="B42" s="178"/>
      <c r="C42" s="175"/>
      <c r="D42" s="180">
        <f t="shared" si="9"/>
        <v>0</v>
      </c>
      <c r="E42" s="4"/>
      <c r="F42" s="5"/>
      <c r="G42" s="4"/>
      <c r="H42" s="5"/>
      <c r="I42" s="124"/>
      <c r="J42" s="127"/>
      <c r="K42" s="129"/>
      <c r="L42" s="14"/>
      <c r="M42" s="25">
        <f t="shared" si="10"/>
        <v>0</v>
      </c>
      <c r="N42" s="140">
        <f t="shared" si="11"/>
        <v>0</v>
      </c>
      <c r="O42" s="143"/>
      <c r="AA42" s="101">
        <f t="shared" si="12"/>
        <v>0</v>
      </c>
      <c r="AB42" s="40">
        <f t="shared" si="13"/>
        <v>0</v>
      </c>
      <c r="AC42" s="40">
        <f t="shared" si="14"/>
        <v>0</v>
      </c>
      <c r="AD42" s="40">
        <f t="shared" si="15"/>
        <v>0</v>
      </c>
      <c r="AE42" s="40">
        <f t="shared" si="16"/>
        <v>0</v>
      </c>
      <c r="AF42" s="102">
        <f t="shared" si="17"/>
        <v>0</v>
      </c>
    </row>
    <row r="43" spans="1:32" x14ac:dyDescent="0.25">
      <c r="A43" s="181"/>
      <c r="B43" s="178"/>
      <c r="C43" s="175"/>
      <c r="D43" s="180">
        <f t="shared" si="9"/>
        <v>0</v>
      </c>
      <c r="E43" s="4"/>
      <c r="F43" s="5"/>
      <c r="G43" s="4"/>
      <c r="H43" s="5"/>
      <c r="I43" s="124"/>
      <c r="J43" s="127"/>
      <c r="K43" s="129"/>
      <c r="L43" s="14"/>
      <c r="M43" s="25">
        <f t="shared" si="10"/>
        <v>0</v>
      </c>
      <c r="N43" s="140">
        <f t="shared" si="11"/>
        <v>0</v>
      </c>
      <c r="O43" s="143"/>
      <c r="AA43" s="101">
        <f t="shared" si="12"/>
        <v>0</v>
      </c>
      <c r="AB43" s="40">
        <f t="shared" si="13"/>
        <v>0</v>
      </c>
      <c r="AC43" s="40">
        <f t="shared" si="14"/>
        <v>0</v>
      </c>
      <c r="AD43" s="40">
        <f t="shared" si="15"/>
        <v>0</v>
      </c>
      <c r="AE43" s="40">
        <f t="shared" si="16"/>
        <v>0</v>
      </c>
      <c r="AF43" s="102">
        <f t="shared" si="17"/>
        <v>0</v>
      </c>
    </row>
    <row r="44" spans="1:32" x14ac:dyDescent="0.25">
      <c r="A44" s="181"/>
      <c r="B44" s="178"/>
      <c r="C44" s="175"/>
      <c r="D44" s="180">
        <f t="shared" si="9"/>
        <v>0</v>
      </c>
      <c r="E44" s="4"/>
      <c r="F44" s="5"/>
      <c r="G44" s="4"/>
      <c r="H44" s="5"/>
      <c r="I44" s="124"/>
      <c r="J44" s="127"/>
      <c r="K44" s="129"/>
      <c r="L44" s="14"/>
      <c r="M44" s="25">
        <f t="shared" ref="M44:M53" si="18">L44*C44</f>
        <v>0</v>
      </c>
      <c r="N44" s="140">
        <f t="shared" ref="N44:N53" si="19">C44*D44</f>
        <v>0</v>
      </c>
      <c r="O44" s="143"/>
      <c r="AA44" s="101">
        <f t="shared" ref="AA44:AA53" si="20">C44*E44</f>
        <v>0</v>
      </c>
      <c r="AB44" s="40">
        <f t="shared" ref="AB44:AB53" si="21">(C44*E44)*F44</f>
        <v>0</v>
      </c>
      <c r="AC44" s="40">
        <f t="shared" ref="AC44:AC53" si="22">C44*I44</f>
        <v>0</v>
      </c>
      <c r="AD44" s="40">
        <f t="shared" ref="AD44:AD53" si="23">(C44*I44)*J44</f>
        <v>0</v>
      </c>
      <c r="AE44" s="40">
        <f t="shared" ref="AE44:AE53" si="24">C44*G44</f>
        <v>0</v>
      </c>
      <c r="AF44" s="102">
        <f t="shared" ref="AF44:AF53" si="25">(C44*G44)*H44</f>
        <v>0</v>
      </c>
    </row>
    <row r="45" spans="1:32" x14ac:dyDescent="0.25">
      <c r="A45" s="181"/>
      <c r="B45" s="178"/>
      <c r="C45" s="175"/>
      <c r="D45" s="180">
        <f t="shared" si="9"/>
        <v>0</v>
      </c>
      <c r="E45" s="4"/>
      <c r="F45" s="5"/>
      <c r="G45" s="4"/>
      <c r="H45" s="5"/>
      <c r="I45" s="124"/>
      <c r="J45" s="127"/>
      <c r="K45" s="129"/>
      <c r="L45" s="14"/>
      <c r="M45" s="25">
        <f t="shared" si="18"/>
        <v>0</v>
      </c>
      <c r="N45" s="140">
        <f t="shared" si="19"/>
        <v>0</v>
      </c>
      <c r="O45" s="143"/>
      <c r="AA45" s="101">
        <f t="shared" si="20"/>
        <v>0</v>
      </c>
      <c r="AB45" s="40">
        <f t="shared" si="21"/>
        <v>0</v>
      </c>
      <c r="AC45" s="40">
        <f t="shared" si="22"/>
        <v>0</v>
      </c>
      <c r="AD45" s="40">
        <f t="shared" si="23"/>
        <v>0</v>
      </c>
      <c r="AE45" s="40">
        <f t="shared" si="24"/>
        <v>0</v>
      </c>
      <c r="AF45" s="102">
        <f t="shared" si="25"/>
        <v>0</v>
      </c>
    </row>
    <row r="46" spans="1:32" x14ac:dyDescent="0.25">
      <c r="A46" s="181"/>
      <c r="B46" s="178"/>
      <c r="C46" s="175"/>
      <c r="D46" s="180">
        <f t="shared" si="9"/>
        <v>0</v>
      </c>
      <c r="E46" s="4"/>
      <c r="F46" s="5"/>
      <c r="G46" s="4"/>
      <c r="H46" s="5"/>
      <c r="I46" s="124"/>
      <c r="J46" s="127"/>
      <c r="K46" s="129"/>
      <c r="L46" s="14"/>
      <c r="M46" s="25">
        <f t="shared" si="18"/>
        <v>0</v>
      </c>
      <c r="N46" s="140">
        <f t="shared" si="19"/>
        <v>0</v>
      </c>
      <c r="O46" s="143"/>
      <c r="AA46" s="101">
        <f t="shared" si="20"/>
        <v>0</v>
      </c>
      <c r="AB46" s="40">
        <f t="shared" si="21"/>
        <v>0</v>
      </c>
      <c r="AC46" s="40">
        <f t="shared" si="22"/>
        <v>0</v>
      </c>
      <c r="AD46" s="40">
        <f t="shared" si="23"/>
        <v>0</v>
      </c>
      <c r="AE46" s="40">
        <f t="shared" si="24"/>
        <v>0</v>
      </c>
      <c r="AF46" s="102">
        <f t="shared" si="25"/>
        <v>0</v>
      </c>
    </row>
    <row r="47" spans="1:32" x14ac:dyDescent="0.25">
      <c r="A47" s="181"/>
      <c r="B47" s="178"/>
      <c r="C47" s="175"/>
      <c r="D47" s="180">
        <f t="shared" si="9"/>
        <v>0</v>
      </c>
      <c r="E47" s="4"/>
      <c r="F47" s="5"/>
      <c r="G47" s="4"/>
      <c r="H47" s="5"/>
      <c r="I47" s="124"/>
      <c r="J47" s="127"/>
      <c r="K47" s="129"/>
      <c r="L47" s="14"/>
      <c r="M47" s="25">
        <f t="shared" si="18"/>
        <v>0</v>
      </c>
      <c r="N47" s="140">
        <f t="shared" si="19"/>
        <v>0</v>
      </c>
      <c r="O47" s="143"/>
      <c r="AA47" s="101">
        <f t="shared" si="20"/>
        <v>0</v>
      </c>
      <c r="AB47" s="40">
        <f t="shared" si="21"/>
        <v>0</v>
      </c>
      <c r="AC47" s="40">
        <f t="shared" si="22"/>
        <v>0</v>
      </c>
      <c r="AD47" s="40">
        <f t="shared" si="23"/>
        <v>0</v>
      </c>
      <c r="AE47" s="40">
        <f t="shared" si="24"/>
        <v>0</v>
      </c>
      <c r="AF47" s="102">
        <f t="shared" si="25"/>
        <v>0</v>
      </c>
    </row>
    <row r="48" spans="1:32" x14ac:dyDescent="0.25">
      <c r="A48" s="181"/>
      <c r="B48" s="178"/>
      <c r="C48" s="175"/>
      <c r="D48" s="180">
        <f t="shared" si="9"/>
        <v>0</v>
      </c>
      <c r="E48" s="4"/>
      <c r="F48" s="5"/>
      <c r="G48" s="4"/>
      <c r="H48" s="5"/>
      <c r="I48" s="124"/>
      <c r="J48" s="127"/>
      <c r="K48" s="129"/>
      <c r="L48" s="14"/>
      <c r="M48" s="25">
        <f t="shared" si="18"/>
        <v>0</v>
      </c>
      <c r="N48" s="140">
        <f t="shared" si="19"/>
        <v>0</v>
      </c>
      <c r="O48" s="143"/>
      <c r="AA48" s="101">
        <f t="shared" si="20"/>
        <v>0</v>
      </c>
      <c r="AB48" s="40">
        <f t="shared" si="21"/>
        <v>0</v>
      </c>
      <c r="AC48" s="40">
        <f t="shared" si="22"/>
        <v>0</v>
      </c>
      <c r="AD48" s="40">
        <f t="shared" si="23"/>
        <v>0</v>
      </c>
      <c r="AE48" s="40">
        <f t="shared" si="24"/>
        <v>0</v>
      </c>
      <c r="AF48" s="102">
        <f t="shared" si="25"/>
        <v>0</v>
      </c>
    </row>
    <row r="49" spans="1:32" x14ac:dyDescent="0.25">
      <c r="A49" s="181"/>
      <c r="B49" s="178"/>
      <c r="C49" s="175"/>
      <c r="D49" s="180">
        <f t="shared" si="9"/>
        <v>0</v>
      </c>
      <c r="E49" s="4"/>
      <c r="F49" s="5"/>
      <c r="G49" s="4"/>
      <c r="H49" s="5"/>
      <c r="I49" s="124"/>
      <c r="J49" s="127"/>
      <c r="K49" s="129"/>
      <c r="L49" s="14"/>
      <c r="M49" s="25">
        <f t="shared" si="18"/>
        <v>0</v>
      </c>
      <c r="N49" s="140">
        <f t="shared" si="19"/>
        <v>0</v>
      </c>
      <c r="O49" s="143"/>
      <c r="AA49" s="101">
        <f t="shared" si="20"/>
        <v>0</v>
      </c>
      <c r="AB49" s="40">
        <f t="shared" si="21"/>
        <v>0</v>
      </c>
      <c r="AC49" s="40">
        <f t="shared" si="22"/>
        <v>0</v>
      </c>
      <c r="AD49" s="40">
        <f t="shared" si="23"/>
        <v>0</v>
      </c>
      <c r="AE49" s="40">
        <f t="shared" si="24"/>
        <v>0</v>
      </c>
      <c r="AF49" s="102">
        <f t="shared" si="25"/>
        <v>0</v>
      </c>
    </row>
    <row r="50" spans="1:32" x14ac:dyDescent="0.25">
      <c r="A50" s="181"/>
      <c r="B50" s="178"/>
      <c r="C50" s="175"/>
      <c r="D50" s="180">
        <f t="shared" si="9"/>
        <v>0</v>
      </c>
      <c r="E50" s="4"/>
      <c r="F50" s="5"/>
      <c r="G50" s="4"/>
      <c r="H50" s="5"/>
      <c r="I50" s="124"/>
      <c r="J50" s="127"/>
      <c r="K50" s="129"/>
      <c r="L50" s="14"/>
      <c r="M50" s="25">
        <f t="shared" si="18"/>
        <v>0</v>
      </c>
      <c r="N50" s="140">
        <f t="shared" si="19"/>
        <v>0</v>
      </c>
      <c r="O50" s="143"/>
      <c r="AA50" s="101">
        <f t="shared" si="20"/>
        <v>0</v>
      </c>
      <c r="AB50" s="40">
        <f t="shared" si="21"/>
        <v>0</v>
      </c>
      <c r="AC50" s="40">
        <f t="shared" si="22"/>
        <v>0</v>
      </c>
      <c r="AD50" s="40">
        <f t="shared" si="23"/>
        <v>0</v>
      </c>
      <c r="AE50" s="40">
        <f t="shared" si="24"/>
        <v>0</v>
      </c>
      <c r="AF50" s="102">
        <f t="shared" si="25"/>
        <v>0</v>
      </c>
    </row>
    <row r="51" spans="1:32" x14ac:dyDescent="0.25">
      <c r="A51" s="181"/>
      <c r="B51" s="178"/>
      <c r="C51" s="175"/>
      <c r="D51" s="180">
        <f t="shared" si="9"/>
        <v>0</v>
      </c>
      <c r="E51" s="4"/>
      <c r="F51" s="5"/>
      <c r="G51" s="4"/>
      <c r="H51" s="5"/>
      <c r="I51" s="124"/>
      <c r="J51" s="127"/>
      <c r="K51" s="129"/>
      <c r="L51" s="14"/>
      <c r="M51" s="25">
        <f t="shared" si="18"/>
        <v>0</v>
      </c>
      <c r="N51" s="140">
        <f t="shared" si="19"/>
        <v>0</v>
      </c>
      <c r="O51" s="143"/>
      <c r="AA51" s="101">
        <f t="shared" si="20"/>
        <v>0</v>
      </c>
      <c r="AB51" s="40">
        <f t="shared" si="21"/>
        <v>0</v>
      </c>
      <c r="AC51" s="40">
        <f t="shared" si="22"/>
        <v>0</v>
      </c>
      <c r="AD51" s="40">
        <f t="shared" si="23"/>
        <v>0</v>
      </c>
      <c r="AE51" s="40">
        <f t="shared" si="24"/>
        <v>0</v>
      </c>
      <c r="AF51" s="102">
        <f t="shared" si="25"/>
        <v>0</v>
      </c>
    </row>
    <row r="52" spans="1:32" x14ac:dyDescent="0.25">
      <c r="A52" s="181"/>
      <c r="B52" s="178"/>
      <c r="C52" s="175"/>
      <c r="D52" s="180">
        <f t="shared" si="9"/>
        <v>0</v>
      </c>
      <c r="E52" s="4"/>
      <c r="F52" s="5"/>
      <c r="G52" s="4"/>
      <c r="H52" s="5"/>
      <c r="I52" s="124"/>
      <c r="J52" s="127"/>
      <c r="K52" s="129"/>
      <c r="L52" s="14"/>
      <c r="M52" s="25">
        <f t="shared" si="18"/>
        <v>0</v>
      </c>
      <c r="N52" s="140">
        <f t="shared" si="19"/>
        <v>0</v>
      </c>
      <c r="O52" s="143"/>
      <c r="AA52" s="101">
        <f t="shared" si="20"/>
        <v>0</v>
      </c>
      <c r="AB52" s="40">
        <f t="shared" si="21"/>
        <v>0</v>
      </c>
      <c r="AC52" s="40">
        <f t="shared" si="22"/>
        <v>0</v>
      </c>
      <c r="AD52" s="40">
        <f t="shared" si="23"/>
        <v>0</v>
      </c>
      <c r="AE52" s="40">
        <f t="shared" si="24"/>
        <v>0</v>
      </c>
      <c r="AF52" s="102">
        <f t="shared" si="25"/>
        <v>0</v>
      </c>
    </row>
    <row r="53" spans="1:32" x14ac:dyDescent="0.25">
      <c r="A53" s="181"/>
      <c r="B53" s="178"/>
      <c r="C53" s="175"/>
      <c r="D53" s="180">
        <f t="shared" si="9"/>
        <v>0</v>
      </c>
      <c r="E53" s="4"/>
      <c r="F53" s="5"/>
      <c r="G53" s="4"/>
      <c r="H53" s="5"/>
      <c r="I53" s="124"/>
      <c r="J53" s="127"/>
      <c r="K53" s="129"/>
      <c r="L53" s="14"/>
      <c r="M53" s="25">
        <f t="shared" si="18"/>
        <v>0</v>
      </c>
      <c r="N53" s="140">
        <f t="shared" si="19"/>
        <v>0</v>
      </c>
      <c r="O53" s="143"/>
      <c r="AA53" s="101">
        <f t="shared" si="20"/>
        <v>0</v>
      </c>
      <c r="AB53" s="40">
        <f t="shared" si="21"/>
        <v>0</v>
      </c>
      <c r="AC53" s="40">
        <f t="shared" si="22"/>
        <v>0</v>
      </c>
      <c r="AD53" s="40">
        <f t="shared" si="23"/>
        <v>0</v>
      </c>
      <c r="AE53" s="40">
        <f t="shared" si="24"/>
        <v>0</v>
      </c>
      <c r="AF53" s="102">
        <f t="shared" si="25"/>
        <v>0</v>
      </c>
    </row>
    <row r="54" spans="1:32" x14ac:dyDescent="0.25">
      <c r="A54" s="181"/>
      <c r="B54" s="178"/>
      <c r="C54" s="175"/>
      <c r="D54" s="180">
        <f t="shared" si="9"/>
        <v>0</v>
      </c>
      <c r="E54" s="4"/>
      <c r="F54" s="5"/>
      <c r="G54" s="4"/>
      <c r="H54" s="5"/>
      <c r="I54" s="124"/>
      <c r="J54" s="127"/>
      <c r="K54" s="129"/>
      <c r="L54" s="14"/>
      <c r="M54" s="25">
        <f t="shared" si="10"/>
        <v>0</v>
      </c>
      <c r="N54" s="140">
        <f t="shared" si="11"/>
        <v>0</v>
      </c>
      <c r="O54" s="143"/>
      <c r="AA54" s="101">
        <f t="shared" si="12"/>
        <v>0</v>
      </c>
      <c r="AB54" s="40">
        <f t="shared" si="13"/>
        <v>0</v>
      </c>
      <c r="AC54" s="40">
        <f t="shared" si="14"/>
        <v>0</v>
      </c>
      <c r="AD54" s="40">
        <f t="shared" si="15"/>
        <v>0</v>
      </c>
      <c r="AE54" s="40">
        <f t="shared" si="16"/>
        <v>0</v>
      </c>
      <c r="AF54" s="102">
        <f t="shared" si="17"/>
        <v>0</v>
      </c>
    </row>
    <row r="55" spans="1:32" x14ac:dyDescent="0.25">
      <c r="A55" s="181"/>
      <c r="B55" s="178"/>
      <c r="C55" s="175"/>
      <c r="D55" s="180">
        <f t="shared" si="9"/>
        <v>0</v>
      </c>
      <c r="E55" s="4"/>
      <c r="F55" s="5"/>
      <c r="G55" s="4"/>
      <c r="H55" s="5"/>
      <c r="I55" s="124"/>
      <c r="J55" s="127"/>
      <c r="K55" s="129"/>
      <c r="L55" s="14"/>
      <c r="M55" s="25">
        <f t="shared" si="10"/>
        <v>0</v>
      </c>
      <c r="N55" s="140">
        <f t="shared" si="11"/>
        <v>0</v>
      </c>
      <c r="O55" s="143"/>
      <c r="AA55" s="101">
        <f t="shared" si="12"/>
        <v>0</v>
      </c>
      <c r="AB55" s="40">
        <f t="shared" si="13"/>
        <v>0</v>
      </c>
      <c r="AC55" s="40">
        <f t="shared" si="14"/>
        <v>0</v>
      </c>
      <c r="AD55" s="40">
        <f t="shared" si="15"/>
        <v>0</v>
      </c>
      <c r="AE55" s="40">
        <f t="shared" si="16"/>
        <v>0</v>
      </c>
      <c r="AF55" s="102">
        <f t="shared" si="17"/>
        <v>0</v>
      </c>
    </row>
    <row r="56" spans="1:32" x14ac:dyDescent="0.25">
      <c r="A56" s="181"/>
      <c r="B56" s="178"/>
      <c r="C56" s="175"/>
      <c r="D56" s="180">
        <f t="shared" si="9"/>
        <v>0</v>
      </c>
      <c r="E56" s="4"/>
      <c r="F56" s="5"/>
      <c r="G56" s="4"/>
      <c r="H56" s="5"/>
      <c r="I56" s="124"/>
      <c r="J56" s="127"/>
      <c r="K56" s="129"/>
      <c r="L56" s="14"/>
      <c r="M56" s="25">
        <f t="shared" si="10"/>
        <v>0</v>
      </c>
      <c r="N56" s="140">
        <f t="shared" si="11"/>
        <v>0</v>
      </c>
      <c r="O56" s="143"/>
      <c r="AA56" s="101">
        <f t="shared" si="12"/>
        <v>0</v>
      </c>
      <c r="AB56" s="40">
        <f t="shared" si="13"/>
        <v>0</v>
      </c>
      <c r="AC56" s="40">
        <f t="shared" si="14"/>
        <v>0</v>
      </c>
      <c r="AD56" s="40">
        <f t="shared" si="15"/>
        <v>0</v>
      </c>
      <c r="AE56" s="40">
        <f t="shared" si="16"/>
        <v>0</v>
      </c>
      <c r="AF56" s="102">
        <f t="shared" si="17"/>
        <v>0</v>
      </c>
    </row>
    <row r="57" spans="1:32" x14ac:dyDescent="0.25">
      <c r="A57" s="181"/>
      <c r="B57" s="178"/>
      <c r="C57" s="175"/>
      <c r="D57" s="180">
        <f t="shared" si="9"/>
        <v>0</v>
      </c>
      <c r="E57" s="4"/>
      <c r="F57" s="5"/>
      <c r="G57" s="4"/>
      <c r="H57" s="5"/>
      <c r="I57" s="124"/>
      <c r="J57" s="127"/>
      <c r="K57" s="129"/>
      <c r="L57" s="14"/>
      <c r="M57" s="25">
        <f t="shared" si="10"/>
        <v>0</v>
      </c>
      <c r="N57" s="140">
        <f t="shared" si="11"/>
        <v>0</v>
      </c>
      <c r="O57" s="143"/>
      <c r="AA57" s="101">
        <f t="shared" si="12"/>
        <v>0</v>
      </c>
      <c r="AB57" s="40">
        <f t="shared" si="13"/>
        <v>0</v>
      </c>
      <c r="AC57" s="40">
        <f t="shared" si="14"/>
        <v>0</v>
      </c>
      <c r="AD57" s="40">
        <f t="shared" si="15"/>
        <v>0</v>
      </c>
      <c r="AE57" s="40">
        <f t="shared" si="16"/>
        <v>0</v>
      </c>
      <c r="AF57" s="102">
        <f t="shared" si="17"/>
        <v>0</v>
      </c>
    </row>
    <row r="58" spans="1:32" x14ac:dyDescent="0.25">
      <c r="A58" s="181"/>
      <c r="B58" s="178"/>
      <c r="C58" s="175"/>
      <c r="D58" s="180">
        <f t="shared" si="9"/>
        <v>0</v>
      </c>
      <c r="E58" s="4"/>
      <c r="F58" s="5"/>
      <c r="G58" s="4"/>
      <c r="H58" s="5"/>
      <c r="I58" s="124"/>
      <c r="J58" s="127"/>
      <c r="K58" s="129"/>
      <c r="L58" s="14"/>
      <c r="M58" s="25">
        <f t="shared" si="10"/>
        <v>0</v>
      </c>
      <c r="N58" s="140">
        <f t="shared" si="11"/>
        <v>0</v>
      </c>
      <c r="O58" s="143"/>
      <c r="AA58" s="101">
        <f t="shared" si="12"/>
        <v>0</v>
      </c>
      <c r="AB58" s="40">
        <f t="shared" si="13"/>
        <v>0</v>
      </c>
      <c r="AC58" s="40">
        <f t="shared" si="14"/>
        <v>0</v>
      </c>
      <c r="AD58" s="40">
        <f t="shared" si="15"/>
        <v>0</v>
      </c>
      <c r="AE58" s="40">
        <f t="shared" si="16"/>
        <v>0</v>
      </c>
      <c r="AF58" s="102">
        <f t="shared" si="17"/>
        <v>0</v>
      </c>
    </row>
    <row r="59" spans="1:32" x14ac:dyDescent="0.25">
      <c r="A59" s="181"/>
      <c r="B59" s="178"/>
      <c r="C59" s="175"/>
      <c r="D59" s="180">
        <f t="shared" si="9"/>
        <v>0</v>
      </c>
      <c r="E59" s="4"/>
      <c r="F59" s="5"/>
      <c r="G59" s="4"/>
      <c r="H59" s="5"/>
      <c r="I59" s="124"/>
      <c r="J59" s="127"/>
      <c r="K59" s="129"/>
      <c r="L59" s="14"/>
      <c r="M59" s="25">
        <f t="shared" si="10"/>
        <v>0</v>
      </c>
      <c r="N59" s="140">
        <f t="shared" si="11"/>
        <v>0</v>
      </c>
      <c r="O59" s="143"/>
      <c r="AA59" s="101">
        <f t="shared" si="12"/>
        <v>0</v>
      </c>
      <c r="AB59" s="40">
        <f t="shared" si="13"/>
        <v>0</v>
      </c>
      <c r="AC59" s="40">
        <f t="shared" si="14"/>
        <v>0</v>
      </c>
      <c r="AD59" s="40">
        <f t="shared" si="15"/>
        <v>0</v>
      </c>
      <c r="AE59" s="40">
        <f t="shared" si="16"/>
        <v>0</v>
      </c>
      <c r="AF59" s="102">
        <f t="shared" si="17"/>
        <v>0</v>
      </c>
    </row>
    <row r="60" spans="1:32" x14ac:dyDescent="0.25">
      <c r="A60" s="181"/>
      <c r="B60" s="178"/>
      <c r="C60" s="175"/>
      <c r="D60" s="180">
        <f t="shared" si="9"/>
        <v>0</v>
      </c>
      <c r="E60" s="4"/>
      <c r="F60" s="5"/>
      <c r="G60" s="4"/>
      <c r="H60" s="5"/>
      <c r="I60" s="124"/>
      <c r="J60" s="127"/>
      <c r="K60" s="129"/>
      <c r="L60" s="14"/>
      <c r="M60" s="25">
        <f t="shared" si="10"/>
        <v>0</v>
      </c>
      <c r="N60" s="140">
        <f t="shared" si="11"/>
        <v>0</v>
      </c>
      <c r="O60" s="143"/>
      <c r="AA60" s="101">
        <f t="shared" si="12"/>
        <v>0</v>
      </c>
      <c r="AB60" s="40">
        <f t="shared" si="13"/>
        <v>0</v>
      </c>
      <c r="AC60" s="40">
        <f t="shared" si="14"/>
        <v>0</v>
      </c>
      <c r="AD60" s="40">
        <f t="shared" si="15"/>
        <v>0</v>
      </c>
      <c r="AE60" s="40">
        <f t="shared" si="16"/>
        <v>0</v>
      </c>
      <c r="AF60" s="102">
        <f t="shared" si="17"/>
        <v>0</v>
      </c>
    </row>
    <row r="61" spans="1:32" x14ac:dyDescent="0.25">
      <c r="A61" s="181"/>
      <c r="B61" s="178"/>
      <c r="C61" s="175"/>
      <c r="D61" s="180">
        <f t="shared" si="9"/>
        <v>0</v>
      </c>
      <c r="E61" s="4"/>
      <c r="F61" s="5"/>
      <c r="G61" s="4"/>
      <c r="H61" s="5"/>
      <c r="I61" s="124"/>
      <c r="J61" s="127"/>
      <c r="K61" s="129"/>
      <c r="L61" s="14"/>
      <c r="M61" s="25">
        <f t="shared" si="1"/>
        <v>0</v>
      </c>
      <c r="N61" s="140">
        <f t="shared" si="2"/>
        <v>0</v>
      </c>
      <c r="O61" s="143"/>
      <c r="AA61" s="101">
        <f t="shared" si="3"/>
        <v>0</v>
      </c>
      <c r="AB61" s="40">
        <f t="shared" si="4"/>
        <v>0</v>
      </c>
      <c r="AC61" s="40">
        <f t="shared" si="5"/>
        <v>0</v>
      </c>
      <c r="AD61" s="40">
        <f t="shared" si="6"/>
        <v>0</v>
      </c>
      <c r="AE61" s="40">
        <f t="shared" si="7"/>
        <v>0</v>
      </c>
      <c r="AF61" s="102">
        <f t="shared" si="8"/>
        <v>0</v>
      </c>
    </row>
    <row r="62" spans="1:32" x14ac:dyDescent="0.25">
      <c r="A62" s="181"/>
      <c r="B62" s="178"/>
      <c r="C62" s="175"/>
      <c r="D62" s="180">
        <f t="shared" si="9"/>
        <v>0</v>
      </c>
      <c r="E62" s="4"/>
      <c r="F62" s="5"/>
      <c r="G62" s="4"/>
      <c r="H62" s="5"/>
      <c r="I62" s="124"/>
      <c r="J62" s="127"/>
      <c r="K62" s="129"/>
      <c r="L62" s="14"/>
      <c r="M62" s="25">
        <f t="shared" si="1"/>
        <v>0</v>
      </c>
      <c r="N62" s="140">
        <f t="shared" si="2"/>
        <v>0</v>
      </c>
      <c r="O62" s="143"/>
      <c r="AA62" s="101">
        <f t="shared" si="3"/>
        <v>0</v>
      </c>
      <c r="AB62" s="40">
        <f t="shared" si="4"/>
        <v>0</v>
      </c>
      <c r="AC62" s="40">
        <f t="shared" si="5"/>
        <v>0</v>
      </c>
      <c r="AD62" s="40">
        <f t="shared" si="6"/>
        <v>0</v>
      </c>
      <c r="AE62" s="40">
        <f t="shared" si="7"/>
        <v>0</v>
      </c>
      <c r="AF62" s="102">
        <f t="shared" si="8"/>
        <v>0</v>
      </c>
    </row>
    <row r="63" spans="1:32" x14ac:dyDescent="0.25">
      <c r="A63" s="181"/>
      <c r="B63" s="178"/>
      <c r="C63" s="175"/>
      <c r="D63" s="180">
        <f t="shared" si="9"/>
        <v>0</v>
      </c>
      <c r="E63" s="4"/>
      <c r="F63" s="5"/>
      <c r="G63" s="4"/>
      <c r="H63" s="5"/>
      <c r="I63" s="124"/>
      <c r="J63" s="127"/>
      <c r="K63" s="129"/>
      <c r="L63" s="14"/>
      <c r="M63" s="25">
        <f t="shared" si="1"/>
        <v>0</v>
      </c>
      <c r="N63" s="140">
        <f t="shared" si="2"/>
        <v>0</v>
      </c>
      <c r="O63" s="143"/>
      <c r="AA63" s="101">
        <f t="shared" si="3"/>
        <v>0</v>
      </c>
      <c r="AB63" s="40">
        <f t="shared" si="4"/>
        <v>0</v>
      </c>
      <c r="AC63" s="40">
        <f t="shared" si="5"/>
        <v>0</v>
      </c>
      <c r="AD63" s="40">
        <f t="shared" si="6"/>
        <v>0</v>
      </c>
      <c r="AE63" s="40">
        <f t="shared" si="7"/>
        <v>0</v>
      </c>
      <c r="AF63" s="102">
        <f t="shared" si="8"/>
        <v>0</v>
      </c>
    </row>
    <row r="64" spans="1:32" x14ac:dyDescent="0.25">
      <c r="A64" s="181"/>
      <c r="B64" s="178"/>
      <c r="C64" s="175"/>
      <c r="D64" s="180">
        <f t="shared" si="9"/>
        <v>0</v>
      </c>
      <c r="E64" s="4"/>
      <c r="F64" s="5"/>
      <c r="G64" s="4"/>
      <c r="H64" s="5"/>
      <c r="I64" s="124"/>
      <c r="J64" s="127"/>
      <c r="K64" s="129"/>
      <c r="L64" s="14"/>
      <c r="M64" s="25">
        <f t="shared" si="1"/>
        <v>0</v>
      </c>
      <c r="N64" s="140">
        <f t="shared" si="2"/>
        <v>0</v>
      </c>
      <c r="O64" s="143"/>
      <c r="AA64" s="101">
        <f t="shared" si="3"/>
        <v>0</v>
      </c>
      <c r="AB64" s="40">
        <f t="shared" si="4"/>
        <v>0</v>
      </c>
      <c r="AC64" s="40">
        <f t="shared" si="5"/>
        <v>0</v>
      </c>
      <c r="AD64" s="40">
        <f t="shared" si="6"/>
        <v>0</v>
      </c>
      <c r="AE64" s="40">
        <f t="shared" si="7"/>
        <v>0</v>
      </c>
      <c r="AF64" s="102">
        <f t="shared" si="8"/>
        <v>0</v>
      </c>
    </row>
    <row r="65" spans="1:32" x14ac:dyDescent="0.25">
      <c r="A65" s="181"/>
      <c r="B65" s="178"/>
      <c r="C65" s="175"/>
      <c r="D65" s="180">
        <f t="shared" si="9"/>
        <v>0</v>
      </c>
      <c r="E65" s="4"/>
      <c r="F65" s="5"/>
      <c r="G65" s="4"/>
      <c r="H65" s="5"/>
      <c r="I65" s="124"/>
      <c r="J65" s="127"/>
      <c r="K65" s="129"/>
      <c r="L65" s="14"/>
      <c r="M65" s="25">
        <f t="shared" si="1"/>
        <v>0</v>
      </c>
      <c r="N65" s="140">
        <f t="shared" si="2"/>
        <v>0</v>
      </c>
      <c r="O65" s="143"/>
      <c r="AA65" s="101">
        <f t="shared" si="3"/>
        <v>0</v>
      </c>
      <c r="AB65" s="40">
        <f t="shared" si="4"/>
        <v>0</v>
      </c>
      <c r="AC65" s="40">
        <f t="shared" si="5"/>
        <v>0</v>
      </c>
      <c r="AD65" s="40">
        <f t="shared" si="6"/>
        <v>0</v>
      </c>
      <c r="AE65" s="40">
        <f t="shared" si="7"/>
        <v>0</v>
      </c>
      <c r="AF65" s="102">
        <f t="shared" si="8"/>
        <v>0</v>
      </c>
    </row>
    <row r="66" spans="1:32" x14ac:dyDescent="0.25">
      <c r="A66" s="181"/>
      <c r="B66" s="178"/>
      <c r="C66" s="175"/>
      <c r="D66" s="180">
        <f t="shared" si="9"/>
        <v>0</v>
      </c>
      <c r="E66" s="4"/>
      <c r="F66" s="5"/>
      <c r="G66" s="4"/>
      <c r="H66" s="5"/>
      <c r="I66" s="124"/>
      <c r="J66" s="127"/>
      <c r="K66" s="129"/>
      <c r="L66" s="14"/>
      <c r="M66" s="25">
        <f t="shared" si="1"/>
        <v>0</v>
      </c>
      <c r="N66" s="140">
        <f t="shared" si="2"/>
        <v>0</v>
      </c>
      <c r="O66" s="143"/>
      <c r="AA66" s="101">
        <f t="shared" si="3"/>
        <v>0</v>
      </c>
      <c r="AB66" s="40">
        <f t="shared" si="4"/>
        <v>0</v>
      </c>
      <c r="AC66" s="40">
        <f t="shared" si="5"/>
        <v>0</v>
      </c>
      <c r="AD66" s="40">
        <f t="shared" si="6"/>
        <v>0</v>
      </c>
      <c r="AE66" s="40">
        <f t="shared" si="7"/>
        <v>0</v>
      </c>
      <c r="AF66" s="102">
        <f t="shared" si="8"/>
        <v>0</v>
      </c>
    </row>
    <row r="67" spans="1:32" x14ac:dyDescent="0.25">
      <c r="A67" s="181"/>
      <c r="B67" s="178"/>
      <c r="C67" s="175"/>
      <c r="D67" s="180">
        <f t="shared" si="9"/>
        <v>0</v>
      </c>
      <c r="E67" s="4"/>
      <c r="F67" s="5"/>
      <c r="G67" s="4"/>
      <c r="H67" s="5"/>
      <c r="I67" s="124"/>
      <c r="J67" s="127"/>
      <c r="K67" s="129"/>
      <c r="L67" s="14"/>
      <c r="M67" s="25">
        <f t="shared" si="1"/>
        <v>0</v>
      </c>
      <c r="N67" s="140">
        <f t="shared" si="2"/>
        <v>0</v>
      </c>
      <c r="O67" s="143"/>
      <c r="AA67" s="101">
        <f t="shared" si="3"/>
        <v>0</v>
      </c>
      <c r="AB67" s="40">
        <f t="shared" si="4"/>
        <v>0</v>
      </c>
      <c r="AC67" s="40">
        <f t="shared" si="5"/>
        <v>0</v>
      </c>
      <c r="AD67" s="40">
        <f t="shared" si="6"/>
        <v>0</v>
      </c>
      <c r="AE67" s="40">
        <f t="shared" si="7"/>
        <v>0</v>
      </c>
      <c r="AF67" s="102">
        <f t="shared" si="8"/>
        <v>0</v>
      </c>
    </row>
    <row r="68" spans="1:32" x14ac:dyDescent="0.25">
      <c r="A68" s="181"/>
      <c r="B68" s="178"/>
      <c r="C68" s="175"/>
      <c r="D68" s="180">
        <f t="shared" si="9"/>
        <v>0</v>
      </c>
      <c r="E68" s="4"/>
      <c r="F68" s="5"/>
      <c r="G68" s="4"/>
      <c r="H68" s="5"/>
      <c r="I68" s="124"/>
      <c r="J68" s="127"/>
      <c r="K68" s="129"/>
      <c r="L68" s="14"/>
      <c r="M68" s="25">
        <f t="shared" si="1"/>
        <v>0</v>
      </c>
      <c r="N68" s="140">
        <f t="shared" si="2"/>
        <v>0</v>
      </c>
      <c r="O68" s="143"/>
      <c r="AA68" s="101">
        <f t="shared" si="3"/>
        <v>0</v>
      </c>
      <c r="AB68" s="40">
        <f t="shared" si="4"/>
        <v>0</v>
      </c>
      <c r="AC68" s="40">
        <f t="shared" si="5"/>
        <v>0</v>
      </c>
      <c r="AD68" s="40">
        <f t="shared" si="6"/>
        <v>0</v>
      </c>
      <c r="AE68" s="40">
        <f t="shared" si="7"/>
        <v>0</v>
      </c>
      <c r="AF68" s="102">
        <f t="shared" si="8"/>
        <v>0</v>
      </c>
    </row>
    <row r="69" spans="1:32" x14ac:dyDescent="0.25">
      <c r="A69" s="181"/>
      <c r="B69" s="178"/>
      <c r="C69" s="175"/>
      <c r="D69" s="180">
        <f t="shared" si="9"/>
        <v>0</v>
      </c>
      <c r="E69" s="4"/>
      <c r="F69" s="5"/>
      <c r="G69" s="4"/>
      <c r="H69" s="5"/>
      <c r="I69" s="124"/>
      <c r="J69" s="127"/>
      <c r="K69" s="129"/>
      <c r="L69" s="14"/>
      <c r="M69" s="25">
        <f t="shared" si="1"/>
        <v>0</v>
      </c>
      <c r="N69" s="140">
        <f t="shared" si="2"/>
        <v>0</v>
      </c>
      <c r="O69" s="143"/>
      <c r="AA69" s="101">
        <f t="shared" si="3"/>
        <v>0</v>
      </c>
      <c r="AB69" s="40">
        <f t="shared" si="4"/>
        <v>0</v>
      </c>
      <c r="AC69" s="40">
        <f t="shared" si="5"/>
        <v>0</v>
      </c>
      <c r="AD69" s="40">
        <f t="shared" si="6"/>
        <v>0</v>
      </c>
      <c r="AE69" s="40">
        <f t="shared" si="7"/>
        <v>0</v>
      </c>
      <c r="AF69" s="102">
        <f t="shared" si="8"/>
        <v>0</v>
      </c>
    </row>
    <row r="70" spans="1:32" ht="15.75" thickBot="1" x14ac:dyDescent="0.3">
      <c r="A70" s="182"/>
      <c r="B70" s="183"/>
      <c r="C70" s="184"/>
      <c r="D70" s="185">
        <f t="shared" si="9"/>
        <v>0</v>
      </c>
      <c r="E70" s="6"/>
      <c r="F70" s="7"/>
      <c r="G70" s="6"/>
      <c r="H70" s="7"/>
      <c r="I70" s="125"/>
      <c r="J70" s="128"/>
      <c r="K70" s="130"/>
      <c r="L70" s="15"/>
      <c r="M70" s="26">
        <f t="shared" si="1"/>
        <v>0</v>
      </c>
      <c r="N70" s="141">
        <f t="shared" si="2"/>
        <v>0</v>
      </c>
      <c r="O70" s="144"/>
      <c r="AA70" s="103">
        <f t="shared" si="3"/>
        <v>0</v>
      </c>
      <c r="AB70" s="104">
        <f t="shared" si="4"/>
        <v>0</v>
      </c>
      <c r="AC70" s="104">
        <f t="shared" si="5"/>
        <v>0</v>
      </c>
      <c r="AD70" s="104">
        <f t="shared" si="6"/>
        <v>0</v>
      </c>
      <c r="AE70" s="104">
        <f t="shared" si="7"/>
        <v>0</v>
      </c>
      <c r="AF70" s="105">
        <f t="shared" si="8"/>
        <v>0</v>
      </c>
    </row>
    <row r="71" spans="1:32" ht="15.75" thickBot="1" x14ac:dyDescent="0.3">
      <c r="A71" s="21"/>
      <c r="B71" s="21"/>
      <c r="C71" s="21"/>
      <c r="D71" s="21"/>
      <c r="E71" s="21">
        <f t="shared" ref="E71:J71" si="26">SUM(E7:E70)</f>
        <v>0</v>
      </c>
      <c r="F71" s="21">
        <f t="shared" si="26"/>
        <v>0</v>
      </c>
      <c r="G71" s="21">
        <f t="shared" si="26"/>
        <v>0</v>
      </c>
      <c r="H71" s="21">
        <f t="shared" si="26"/>
        <v>0</v>
      </c>
      <c r="I71" s="21">
        <f t="shared" si="26"/>
        <v>0</v>
      </c>
      <c r="J71" s="21">
        <f t="shared" si="26"/>
        <v>0</v>
      </c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</row>
    <row r="72" spans="1:32" ht="15.75" thickBot="1" x14ac:dyDescent="0.3">
      <c r="A72" t="s">
        <v>16</v>
      </c>
      <c r="E72" s="245" t="s">
        <v>10</v>
      </c>
      <c r="F72" s="246"/>
      <c r="G72" s="246"/>
      <c r="H72" s="246"/>
      <c r="I72" s="246"/>
      <c r="J72" s="246"/>
      <c r="K72" s="246"/>
      <c r="L72" s="247"/>
      <c r="M72" s="16">
        <f>SUM(M7:M70)</f>
        <v>0</v>
      </c>
      <c r="N72" s="16">
        <f>SUM(N7:N70)</f>
        <v>0</v>
      </c>
    </row>
    <row r="73" spans="1:32" ht="15.75" thickBot="1" x14ac:dyDescent="0.3">
      <c r="E73" s="245" t="s">
        <v>11</v>
      </c>
      <c r="F73" s="246"/>
      <c r="G73" s="246"/>
      <c r="H73" s="246"/>
      <c r="I73" s="246"/>
      <c r="J73" s="246"/>
      <c r="K73" s="246"/>
      <c r="L73" s="247"/>
      <c r="M73" s="17">
        <f>M72*1.15</f>
        <v>0</v>
      </c>
      <c r="N73" s="17">
        <f>N72*1.15</f>
        <v>0</v>
      </c>
    </row>
  </sheetData>
  <sortState ref="A7:L70">
    <sortCondition ref="A6"/>
  </sortState>
  <mergeCells count="12">
    <mergeCell ref="A4:O4"/>
    <mergeCell ref="N5:N6"/>
    <mergeCell ref="Q5:V5"/>
    <mergeCell ref="E72:L72"/>
    <mergeCell ref="E73:L73"/>
    <mergeCell ref="B5:D5"/>
    <mergeCell ref="E5:F5"/>
    <mergeCell ref="I5:J5"/>
    <mergeCell ref="L5:M5"/>
    <mergeCell ref="G5:H5"/>
    <mergeCell ref="K5:K6"/>
    <mergeCell ref="O5:O6"/>
  </mergeCells>
  <dataValidations count="1">
    <dataValidation type="list" allowBlank="1" showInputMessage="1" showErrorMessage="1" sqref="B7:B70">
      <formula1>$Z$2:$Z$1034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CM">
                <anchor moveWithCells="1" sizeWithCells="1">
                  <from>
                    <xdr:col>16</xdr:col>
                    <xdr:colOff>28575</xdr:colOff>
                    <xdr:row>0</xdr:row>
                    <xdr:rowOff>28575</xdr:rowOff>
                  </from>
                  <to>
                    <xdr:col>17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AF73"/>
  <sheetViews>
    <sheetView workbookViewId="0">
      <pane ySplit="6" topLeftCell="A7" activePane="bottomLeft" state="frozen"/>
      <selection activeCell="K60" sqref="K60"/>
      <selection pane="bottomLeft" activeCell="M27" sqref="M27"/>
    </sheetView>
  </sheetViews>
  <sheetFormatPr defaultRowHeight="15" x14ac:dyDescent="0.25"/>
  <cols>
    <col min="1" max="1" width="9.7109375" bestFit="1" customWidth="1"/>
    <col min="2" max="2" width="20.7109375" customWidth="1"/>
    <col min="3" max="3" width="7.42578125" customWidth="1"/>
    <col min="4" max="4" width="11.7109375" customWidth="1"/>
    <col min="5" max="5" width="4.42578125" customWidth="1"/>
    <col min="6" max="6" width="6.42578125" customWidth="1"/>
    <col min="7" max="7" width="4.42578125" customWidth="1"/>
    <col min="8" max="8" width="6.140625" customWidth="1"/>
    <col min="9" max="9" width="4.42578125" customWidth="1"/>
    <col min="10" max="10" width="6.85546875" customWidth="1"/>
    <col min="11" max="11" width="8.5703125" customWidth="1"/>
    <col min="12" max="12" width="9.5703125" bestFit="1" customWidth="1"/>
    <col min="13" max="13" width="14.5703125" customWidth="1"/>
    <col min="14" max="14" width="16.140625" customWidth="1"/>
    <col min="15" max="15" width="11" customWidth="1"/>
    <col min="16" max="16" width="4.28515625" customWidth="1"/>
    <col min="17" max="17" width="3.42578125" customWidth="1"/>
    <col min="21" max="21" width="13.28515625" bestFit="1" customWidth="1"/>
    <col min="22" max="22" width="2.5703125" customWidth="1"/>
    <col min="26" max="26" width="23.5703125" style="22" customWidth="1"/>
    <col min="27" max="27" width="9.140625" style="22"/>
    <col min="28" max="28" width="12.28515625" style="22" bestFit="1" customWidth="1"/>
    <col min="29" max="29" width="12.28515625" style="22" customWidth="1"/>
    <col min="30" max="30" width="14" style="22" bestFit="1" customWidth="1"/>
    <col min="31" max="31" width="10.85546875" style="22" bestFit="1" customWidth="1"/>
    <col min="32" max="32" width="15.7109375" style="22" bestFit="1" customWidth="1"/>
  </cols>
  <sheetData>
    <row r="1" spans="1:32" x14ac:dyDescent="0.25">
      <c r="Q1" s="158"/>
      <c r="R1" s="158"/>
      <c r="Z1" s="23" t="s">
        <v>7</v>
      </c>
      <c r="AA1" s="23"/>
    </row>
    <row r="2" spans="1:32" x14ac:dyDescent="0.25">
      <c r="A2" s="10" t="s">
        <v>0</v>
      </c>
      <c r="Q2" s="158"/>
      <c r="R2" s="158"/>
      <c r="Z2" s="22" t="s">
        <v>19</v>
      </c>
    </row>
    <row r="3" spans="1:32" ht="15.75" thickBot="1" x14ac:dyDescent="0.3">
      <c r="A3" s="21">
        <f>SUM(C7:C70)</f>
        <v>0</v>
      </c>
      <c r="Q3" s="158"/>
      <c r="R3" s="158"/>
      <c r="Z3" s="22" t="s">
        <v>69</v>
      </c>
    </row>
    <row r="4" spans="1:32" ht="15.75" thickBot="1" x14ac:dyDescent="0.3">
      <c r="A4" s="261" t="s">
        <v>18</v>
      </c>
      <c r="B4" s="262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3"/>
      <c r="Z4" s="22" t="s">
        <v>70</v>
      </c>
    </row>
    <row r="5" spans="1:32" ht="15.75" thickBot="1" x14ac:dyDescent="0.3">
      <c r="A5" s="160"/>
      <c r="B5" s="235" t="s">
        <v>2</v>
      </c>
      <c r="C5" s="236"/>
      <c r="D5" s="237"/>
      <c r="E5" s="235" t="s">
        <v>9</v>
      </c>
      <c r="F5" s="237"/>
      <c r="G5" s="235" t="s">
        <v>12</v>
      </c>
      <c r="H5" s="237"/>
      <c r="I5" s="248" t="s">
        <v>148</v>
      </c>
      <c r="J5" s="248"/>
      <c r="K5" s="238" t="s">
        <v>160</v>
      </c>
      <c r="L5" s="235" t="s">
        <v>211</v>
      </c>
      <c r="M5" s="237"/>
      <c r="N5" s="240" t="s">
        <v>10</v>
      </c>
      <c r="O5" s="240" t="s">
        <v>210</v>
      </c>
      <c r="Q5" s="264" t="s">
        <v>18</v>
      </c>
      <c r="R5" s="265"/>
      <c r="S5" s="265"/>
      <c r="T5" s="265"/>
      <c r="U5" s="265"/>
      <c r="V5" s="266"/>
      <c r="Z5" s="22" t="s">
        <v>71</v>
      </c>
    </row>
    <row r="6" spans="1:32" ht="15.75" thickBot="1" x14ac:dyDescent="0.3">
      <c r="A6" s="159" t="s">
        <v>6</v>
      </c>
      <c r="B6" s="1" t="s">
        <v>7</v>
      </c>
      <c r="C6" s="19" t="s">
        <v>15</v>
      </c>
      <c r="D6" s="1" t="s">
        <v>3</v>
      </c>
      <c r="E6" s="18" t="s">
        <v>14</v>
      </c>
      <c r="F6" s="20" t="s">
        <v>13</v>
      </c>
      <c r="G6" s="121" t="s">
        <v>14</v>
      </c>
      <c r="H6" s="122" t="s">
        <v>13</v>
      </c>
      <c r="I6" s="19" t="s">
        <v>14</v>
      </c>
      <c r="J6" s="19" t="s">
        <v>13</v>
      </c>
      <c r="K6" s="239"/>
      <c r="L6" s="8" t="s">
        <v>4</v>
      </c>
      <c r="M6" s="9" t="s">
        <v>5</v>
      </c>
      <c r="N6" s="241"/>
      <c r="O6" s="241"/>
      <c r="Q6" s="48"/>
      <c r="R6" s="49"/>
      <c r="S6" s="49"/>
      <c r="T6" s="49"/>
      <c r="U6" s="49"/>
      <c r="V6" s="50"/>
      <c r="Z6" s="22" t="s">
        <v>72</v>
      </c>
      <c r="AA6" s="98" t="s">
        <v>147</v>
      </c>
      <c r="AB6" s="99" t="s">
        <v>146</v>
      </c>
      <c r="AC6" s="99" t="s">
        <v>149</v>
      </c>
      <c r="AD6" s="99" t="s">
        <v>150</v>
      </c>
      <c r="AE6" s="99" t="s">
        <v>88</v>
      </c>
      <c r="AF6" s="100" t="s">
        <v>89</v>
      </c>
    </row>
    <row r="7" spans="1:32" x14ac:dyDescent="0.25">
      <c r="A7" s="170"/>
      <c r="B7" s="171"/>
      <c r="C7" s="172"/>
      <c r="D7" s="173">
        <f t="shared" ref="D7:D38" si="0">L7+(E7*F7)+(G7*H7)+(I7*J7)</f>
        <v>0</v>
      </c>
      <c r="E7" s="2"/>
      <c r="F7" s="3"/>
      <c r="G7" s="2"/>
      <c r="H7" s="3"/>
      <c r="I7" s="123"/>
      <c r="J7" s="126"/>
      <c r="K7" s="129"/>
      <c r="L7" s="14"/>
      <c r="M7" s="25">
        <f t="shared" ref="M7:M70" si="1">L7*C7</f>
        <v>0</v>
      </c>
      <c r="N7" s="139">
        <f t="shared" ref="N7:N70" si="2">C7*D7</f>
        <v>0</v>
      </c>
      <c r="O7" s="142"/>
      <c r="Q7" s="51"/>
      <c r="R7" s="54" t="s">
        <v>90</v>
      </c>
      <c r="S7" s="55"/>
      <c r="T7" s="63"/>
      <c r="U7" s="56">
        <f>SUM(C7:C70)</f>
        <v>0</v>
      </c>
      <c r="V7" s="37"/>
      <c r="Z7" s="22" t="s">
        <v>53</v>
      </c>
      <c r="AA7" s="101">
        <f t="shared" ref="AA7:AA70" si="3">C7*E7</f>
        <v>0</v>
      </c>
      <c r="AB7" s="40">
        <f t="shared" ref="AB7:AB70" si="4">(C7*E7)*F7</f>
        <v>0</v>
      </c>
      <c r="AC7" s="40">
        <f t="shared" ref="AC7:AC70" si="5">C7*I7</f>
        <v>0</v>
      </c>
      <c r="AD7" s="40">
        <f t="shared" ref="AD7:AD70" si="6">(C7*I7)*J7</f>
        <v>0</v>
      </c>
      <c r="AE7" s="40">
        <f>C7*G7</f>
        <v>0</v>
      </c>
      <c r="AF7" s="102">
        <f>(C7*G7)*H7</f>
        <v>0</v>
      </c>
    </row>
    <row r="8" spans="1:32" ht="15.75" thickBot="1" x14ac:dyDescent="0.3">
      <c r="A8" s="170"/>
      <c r="B8" s="174"/>
      <c r="C8" s="175"/>
      <c r="D8" s="176">
        <f t="shared" si="0"/>
        <v>0</v>
      </c>
      <c r="E8" s="4"/>
      <c r="F8" s="5"/>
      <c r="G8" s="4"/>
      <c r="H8" s="5"/>
      <c r="I8" s="124"/>
      <c r="J8" s="127"/>
      <c r="K8" s="129"/>
      <c r="L8" s="14"/>
      <c r="M8" s="25">
        <f t="shared" si="1"/>
        <v>0</v>
      </c>
      <c r="N8" s="140">
        <f t="shared" si="2"/>
        <v>0</v>
      </c>
      <c r="O8" s="143"/>
      <c r="Q8" s="51"/>
      <c r="R8" s="57" t="s">
        <v>91</v>
      </c>
      <c r="S8" s="58"/>
      <c r="T8" s="64"/>
      <c r="U8" s="59">
        <f>SUM(M7:M70)</f>
        <v>0</v>
      </c>
      <c r="V8" s="37"/>
      <c r="Z8" s="22" t="s">
        <v>73</v>
      </c>
      <c r="AA8" s="101">
        <f t="shared" si="3"/>
        <v>0</v>
      </c>
      <c r="AB8" s="40">
        <f t="shared" si="4"/>
        <v>0</v>
      </c>
      <c r="AC8" s="40">
        <f t="shared" si="5"/>
        <v>0</v>
      </c>
      <c r="AD8" s="40">
        <f t="shared" si="6"/>
        <v>0</v>
      </c>
      <c r="AE8" s="40">
        <f t="shared" ref="AE8:AE70" si="7">C8*G8</f>
        <v>0</v>
      </c>
      <c r="AF8" s="102">
        <f t="shared" ref="AF8:AF70" si="8">(C8*G8)*H8</f>
        <v>0</v>
      </c>
    </row>
    <row r="9" spans="1:32" ht="15.75" thickBot="1" x14ac:dyDescent="0.3">
      <c r="A9" s="170"/>
      <c r="B9" s="177"/>
      <c r="C9" s="175"/>
      <c r="D9" s="176">
        <f t="shared" si="0"/>
        <v>0</v>
      </c>
      <c r="E9" s="4"/>
      <c r="F9" s="5"/>
      <c r="G9" s="4"/>
      <c r="H9" s="5"/>
      <c r="I9" s="124"/>
      <c r="J9" s="127"/>
      <c r="K9" s="129"/>
      <c r="L9" s="14"/>
      <c r="M9" s="25">
        <f t="shared" si="1"/>
        <v>0</v>
      </c>
      <c r="N9" s="140">
        <f t="shared" si="2"/>
        <v>0</v>
      </c>
      <c r="O9" s="143"/>
      <c r="Q9" s="51"/>
      <c r="R9" s="52"/>
      <c r="S9" s="36"/>
      <c r="T9" s="36"/>
      <c r="U9" s="36"/>
      <c r="V9" s="37"/>
      <c r="Z9" s="22" t="s">
        <v>74</v>
      </c>
      <c r="AA9" s="101">
        <f t="shared" si="3"/>
        <v>0</v>
      </c>
      <c r="AB9" s="40">
        <f t="shared" si="4"/>
        <v>0</v>
      </c>
      <c r="AC9" s="40">
        <f t="shared" si="5"/>
        <v>0</v>
      </c>
      <c r="AD9" s="40">
        <f t="shared" si="6"/>
        <v>0</v>
      </c>
      <c r="AE9" s="40">
        <f t="shared" si="7"/>
        <v>0</v>
      </c>
      <c r="AF9" s="102">
        <f t="shared" si="8"/>
        <v>0</v>
      </c>
    </row>
    <row r="10" spans="1:32" x14ac:dyDescent="0.25">
      <c r="A10" s="170"/>
      <c r="B10" s="178"/>
      <c r="C10" s="175"/>
      <c r="D10" s="176">
        <f t="shared" si="0"/>
        <v>0</v>
      </c>
      <c r="E10" s="4"/>
      <c r="F10" s="5"/>
      <c r="G10" s="4"/>
      <c r="H10" s="5"/>
      <c r="I10" s="124"/>
      <c r="J10" s="127"/>
      <c r="K10" s="129"/>
      <c r="L10" s="14"/>
      <c r="M10" s="25">
        <f t="shared" si="1"/>
        <v>0</v>
      </c>
      <c r="N10" s="140">
        <f t="shared" si="2"/>
        <v>0</v>
      </c>
      <c r="O10" s="143"/>
      <c r="Q10" s="51"/>
      <c r="R10" s="54" t="s">
        <v>86</v>
      </c>
      <c r="S10" s="55"/>
      <c r="T10" s="63"/>
      <c r="U10" s="56">
        <f>SUM(AA:AA)</f>
        <v>0</v>
      </c>
      <c r="V10" s="37"/>
      <c r="Z10" s="22" t="s">
        <v>75</v>
      </c>
      <c r="AA10" s="101">
        <f t="shared" si="3"/>
        <v>0</v>
      </c>
      <c r="AB10" s="40">
        <f t="shared" si="4"/>
        <v>0</v>
      </c>
      <c r="AC10" s="40">
        <f t="shared" si="5"/>
        <v>0</v>
      </c>
      <c r="AD10" s="40">
        <f t="shared" si="6"/>
        <v>0</v>
      </c>
      <c r="AE10" s="40">
        <f t="shared" si="7"/>
        <v>0</v>
      </c>
      <c r="AF10" s="102">
        <f t="shared" si="8"/>
        <v>0</v>
      </c>
    </row>
    <row r="11" spans="1:32" ht="15.75" thickBot="1" x14ac:dyDescent="0.3">
      <c r="A11" s="170"/>
      <c r="B11" s="178"/>
      <c r="C11" s="175"/>
      <c r="D11" s="176">
        <f t="shared" si="0"/>
        <v>0</v>
      </c>
      <c r="E11" s="4"/>
      <c r="F11" s="5"/>
      <c r="G11" s="4"/>
      <c r="H11" s="5"/>
      <c r="I11" s="124"/>
      <c r="J11" s="127"/>
      <c r="K11" s="129"/>
      <c r="L11" s="14"/>
      <c r="M11" s="25">
        <f t="shared" si="1"/>
        <v>0</v>
      </c>
      <c r="N11" s="140">
        <f t="shared" si="2"/>
        <v>0</v>
      </c>
      <c r="O11" s="143"/>
      <c r="Q11" s="51"/>
      <c r="R11" s="57" t="s">
        <v>87</v>
      </c>
      <c r="S11" s="58"/>
      <c r="T11" s="64"/>
      <c r="U11" s="59">
        <f>SUM(AB:AB)</f>
        <v>0</v>
      </c>
      <c r="V11" s="37"/>
      <c r="Z11" s="22" t="s">
        <v>76</v>
      </c>
      <c r="AA11" s="101">
        <f t="shared" si="3"/>
        <v>0</v>
      </c>
      <c r="AB11" s="40">
        <f t="shared" si="4"/>
        <v>0</v>
      </c>
      <c r="AC11" s="40">
        <f t="shared" si="5"/>
        <v>0</v>
      </c>
      <c r="AD11" s="40">
        <f t="shared" si="6"/>
        <v>0</v>
      </c>
      <c r="AE11" s="40">
        <f t="shared" si="7"/>
        <v>0</v>
      </c>
      <c r="AF11" s="102">
        <f t="shared" si="8"/>
        <v>0</v>
      </c>
    </row>
    <row r="12" spans="1:32" ht="15.75" thickBot="1" x14ac:dyDescent="0.3">
      <c r="A12" s="170"/>
      <c r="B12" s="178"/>
      <c r="C12" s="175"/>
      <c r="D12" s="176">
        <f t="shared" si="0"/>
        <v>0</v>
      </c>
      <c r="E12" s="4"/>
      <c r="F12" s="5"/>
      <c r="G12" s="4"/>
      <c r="H12" s="5"/>
      <c r="I12" s="124"/>
      <c r="J12" s="127"/>
      <c r="K12" s="129"/>
      <c r="L12" s="14"/>
      <c r="M12" s="25">
        <f t="shared" si="1"/>
        <v>0</v>
      </c>
      <c r="N12" s="140">
        <f t="shared" si="2"/>
        <v>0</v>
      </c>
      <c r="O12" s="143"/>
      <c r="Q12" s="51"/>
      <c r="R12" s="52"/>
      <c r="S12" s="36"/>
      <c r="T12" s="36"/>
      <c r="U12" s="36"/>
      <c r="V12" s="37"/>
      <c r="Z12" s="22" t="s">
        <v>77</v>
      </c>
      <c r="AA12" s="101">
        <f t="shared" si="3"/>
        <v>0</v>
      </c>
      <c r="AB12" s="40">
        <f t="shared" si="4"/>
        <v>0</v>
      </c>
      <c r="AC12" s="40">
        <f t="shared" si="5"/>
        <v>0</v>
      </c>
      <c r="AD12" s="40">
        <f t="shared" si="6"/>
        <v>0</v>
      </c>
      <c r="AE12" s="40">
        <f t="shared" si="7"/>
        <v>0</v>
      </c>
      <c r="AF12" s="102">
        <f t="shared" si="8"/>
        <v>0</v>
      </c>
    </row>
    <row r="13" spans="1:32" x14ac:dyDescent="0.25">
      <c r="A13" s="170"/>
      <c r="B13" s="178"/>
      <c r="C13" s="175"/>
      <c r="D13" s="176">
        <f t="shared" si="0"/>
        <v>0</v>
      </c>
      <c r="E13" s="4"/>
      <c r="F13" s="5"/>
      <c r="G13" s="4"/>
      <c r="H13" s="5"/>
      <c r="I13" s="124"/>
      <c r="J13" s="127"/>
      <c r="K13" s="129"/>
      <c r="L13" s="14"/>
      <c r="M13" s="25">
        <f t="shared" si="1"/>
        <v>0</v>
      </c>
      <c r="N13" s="140">
        <f t="shared" si="2"/>
        <v>0</v>
      </c>
      <c r="O13" s="143"/>
      <c r="Q13" s="51"/>
      <c r="R13" s="54" t="s">
        <v>88</v>
      </c>
      <c r="S13" s="55"/>
      <c r="T13" s="63"/>
      <c r="U13" s="56">
        <f>SUM(AE:AE)</f>
        <v>0</v>
      </c>
      <c r="V13" s="37"/>
      <c r="Z13" s="22" t="s">
        <v>78</v>
      </c>
      <c r="AA13" s="101">
        <f t="shared" si="3"/>
        <v>0</v>
      </c>
      <c r="AB13" s="40">
        <f t="shared" si="4"/>
        <v>0</v>
      </c>
      <c r="AC13" s="40">
        <f t="shared" si="5"/>
        <v>0</v>
      </c>
      <c r="AD13" s="40">
        <f t="shared" si="6"/>
        <v>0</v>
      </c>
      <c r="AE13" s="40">
        <f t="shared" si="7"/>
        <v>0</v>
      </c>
      <c r="AF13" s="102">
        <f t="shared" si="8"/>
        <v>0</v>
      </c>
    </row>
    <row r="14" spans="1:32" ht="15.75" thickBot="1" x14ac:dyDescent="0.3">
      <c r="A14" s="170"/>
      <c r="B14" s="178"/>
      <c r="C14" s="175"/>
      <c r="D14" s="176">
        <f t="shared" si="0"/>
        <v>0</v>
      </c>
      <c r="E14" s="4"/>
      <c r="F14" s="5"/>
      <c r="G14" s="4"/>
      <c r="H14" s="5"/>
      <c r="I14" s="124"/>
      <c r="J14" s="127"/>
      <c r="K14" s="129"/>
      <c r="L14" s="14"/>
      <c r="M14" s="25">
        <f t="shared" si="1"/>
        <v>0</v>
      </c>
      <c r="N14" s="140">
        <f t="shared" si="2"/>
        <v>0</v>
      </c>
      <c r="O14" s="143"/>
      <c r="Q14" s="51"/>
      <c r="R14" s="57" t="s">
        <v>89</v>
      </c>
      <c r="S14" s="58"/>
      <c r="T14" s="64"/>
      <c r="U14" s="59">
        <f>SUM(AF:AF)</f>
        <v>0</v>
      </c>
      <c r="V14" s="37"/>
      <c r="Z14" s="22" t="s">
        <v>79</v>
      </c>
      <c r="AA14" s="101">
        <f t="shared" si="3"/>
        <v>0</v>
      </c>
      <c r="AB14" s="40">
        <f t="shared" si="4"/>
        <v>0</v>
      </c>
      <c r="AC14" s="40">
        <f t="shared" si="5"/>
        <v>0</v>
      </c>
      <c r="AD14" s="40">
        <f t="shared" si="6"/>
        <v>0</v>
      </c>
      <c r="AE14" s="40">
        <f t="shared" si="7"/>
        <v>0</v>
      </c>
      <c r="AF14" s="102">
        <f t="shared" si="8"/>
        <v>0</v>
      </c>
    </row>
    <row r="15" spans="1:32" ht="15.75" thickBot="1" x14ac:dyDescent="0.3">
      <c r="A15" s="179"/>
      <c r="B15" s="178"/>
      <c r="C15" s="175"/>
      <c r="D15" s="176">
        <f t="shared" si="0"/>
        <v>0</v>
      </c>
      <c r="E15" s="4"/>
      <c r="F15" s="5"/>
      <c r="G15" s="4"/>
      <c r="H15" s="5"/>
      <c r="I15" s="124"/>
      <c r="J15" s="127"/>
      <c r="K15" s="129"/>
      <c r="L15" s="14"/>
      <c r="M15" s="25">
        <f t="shared" si="1"/>
        <v>0</v>
      </c>
      <c r="N15" s="140">
        <f t="shared" si="2"/>
        <v>0</v>
      </c>
      <c r="O15" s="143"/>
      <c r="Q15" s="51"/>
      <c r="R15" s="52"/>
      <c r="S15" s="36"/>
      <c r="T15" s="36"/>
      <c r="U15" s="36"/>
      <c r="V15" s="37"/>
      <c r="Z15" s="22" t="s">
        <v>59</v>
      </c>
      <c r="AA15" s="101">
        <f t="shared" si="3"/>
        <v>0</v>
      </c>
      <c r="AB15" s="40">
        <f t="shared" si="4"/>
        <v>0</v>
      </c>
      <c r="AC15" s="40">
        <f t="shared" si="5"/>
        <v>0</v>
      </c>
      <c r="AD15" s="40">
        <f t="shared" si="6"/>
        <v>0</v>
      </c>
      <c r="AE15" s="40">
        <f t="shared" si="7"/>
        <v>0</v>
      </c>
      <c r="AF15" s="102">
        <f t="shared" si="8"/>
        <v>0</v>
      </c>
    </row>
    <row r="16" spans="1:32" x14ac:dyDescent="0.25">
      <c r="A16" s="181"/>
      <c r="B16" s="178"/>
      <c r="C16" s="175"/>
      <c r="D16" s="180">
        <f t="shared" si="0"/>
        <v>0</v>
      </c>
      <c r="E16" s="4"/>
      <c r="F16" s="5"/>
      <c r="G16" s="4"/>
      <c r="H16" s="5"/>
      <c r="I16" s="124"/>
      <c r="J16" s="127"/>
      <c r="K16" s="129"/>
      <c r="L16" s="14"/>
      <c r="M16" s="25">
        <f t="shared" si="1"/>
        <v>0</v>
      </c>
      <c r="N16" s="140">
        <f t="shared" si="2"/>
        <v>0</v>
      </c>
      <c r="O16" s="143"/>
      <c r="Q16" s="51"/>
      <c r="R16" s="54" t="str">
        <f>I5 &amp; " pax"</f>
        <v>Eiffel Tower pax</v>
      </c>
      <c r="S16" s="55"/>
      <c r="T16" s="63"/>
      <c r="U16" s="56">
        <f>SUM(AC:AC)</f>
        <v>0</v>
      </c>
      <c r="V16" s="37"/>
      <c r="Z16" s="22" t="s">
        <v>80</v>
      </c>
      <c r="AA16" s="101">
        <f t="shared" si="3"/>
        <v>0</v>
      </c>
      <c r="AB16" s="40">
        <f t="shared" si="4"/>
        <v>0</v>
      </c>
      <c r="AC16" s="40">
        <f t="shared" si="5"/>
        <v>0</v>
      </c>
      <c r="AD16" s="40">
        <f t="shared" si="6"/>
        <v>0</v>
      </c>
      <c r="AE16" s="40">
        <f t="shared" si="7"/>
        <v>0</v>
      </c>
      <c r="AF16" s="102">
        <f t="shared" si="8"/>
        <v>0</v>
      </c>
    </row>
    <row r="17" spans="1:32" x14ac:dyDescent="0.25">
      <c r="A17" s="181"/>
      <c r="B17" s="178"/>
      <c r="C17" s="175"/>
      <c r="D17" s="180">
        <f t="shared" si="0"/>
        <v>0</v>
      </c>
      <c r="E17" s="4"/>
      <c r="F17" s="5"/>
      <c r="G17" s="4"/>
      <c r="H17" s="5"/>
      <c r="I17" s="124"/>
      <c r="J17" s="127"/>
      <c r="K17" s="129"/>
      <c r="L17" s="14"/>
      <c r="M17" s="25">
        <f t="shared" si="1"/>
        <v>0</v>
      </c>
      <c r="N17" s="140">
        <f t="shared" si="2"/>
        <v>0</v>
      </c>
      <c r="O17" s="143"/>
      <c r="Q17" s="51"/>
      <c r="R17" s="60" t="str">
        <f>I5 &amp; " Revenue"</f>
        <v>Eiffel Tower Revenue</v>
      </c>
      <c r="S17" s="61"/>
      <c r="T17" s="65"/>
      <c r="U17" s="62">
        <f>SUM(AD:AD)</f>
        <v>0</v>
      </c>
      <c r="V17" s="37"/>
      <c r="Z17" s="22" t="s">
        <v>63</v>
      </c>
      <c r="AA17" s="101">
        <f t="shared" si="3"/>
        <v>0</v>
      </c>
      <c r="AB17" s="40">
        <f t="shared" si="4"/>
        <v>0</v>
      </c>
      <c r="AC17" s="40">
        <f t="shared" si="5"/>
        <v>0</v>
      </c>
      <c r="AD17" s="40">
        <f t="shared" si="6"/>
        <v>0</v>
      </c>
      <c r="AE17" s="40">
        <f t="shared" si="7"/>
        <v>0</v>
      </c>
      <c r="AF17" s="102">
        <f t="shared" si="8"/>
        <v>0</v>
      </c>
    </row>
    <row r="18" spans="1:32" ht="15.75" thickBot="1" x14ac:dyDescent="0.3">
      <c r="A18" s="181"/>
      <c r="B18" s="178"/>
      <c r="C18" s="175"/>
      <c r="D18" s="180">
        <f t="shared" si="0"/>
        <v>0</v>
      </c>
      <c r="E18" s="4"/>
      <c r="F18" s="5"/>
      <c r="G18" s="4"/>
      <c r="H18" s="5"/>
      <c r="I18" s="124"/>
      <c r="J18" s="127"/>
      <c r="K18" s="129"/>
      <c r="L18" s="14"/>
      <c r="M18" s="25">
        <f t="shared" si="1"/>
        <v>0</v>
      </c>
      <c r="N18" s="140">
        <f t="shared" si="2"/>
        <v>0</v>
      </c>
      <c r="O18" s="143"/>
      <c r="Q18" s="51"/>
      <c r="R18" s="52"/>
      <c r="S18" s="36"/>
      <c r="T18" s="36"/>
      <c r="U18" s="36"/>
      <c r="V18" s="37"/>
      <c r="Z18" s="22" t="s">
        <v>81</v>
      </c>
      <c r="AA18" s="101">
        <f t="shared" si="3"/>
        <v>0</v>
      </c>
      <c r="AB18" s="40">
        <f t="shared" si="4"/>
        <v>0</v>
      </c>
      <c r="AC18" s="40">
        <f t="shared" si="5"/>
        <v>0</v>
      </c>
      <c r="AD18" s="40">
        <f t="shared" si="6"/>
        <v>0</v>
      </c>
      <c r="AE18" s="40">
        <f t="shared" si="7"/>
        <v>0</v>
      </c>
      <c r="AF18" s="102">
        <f t="shared" si="8"/>
        <v>0</v>
      </c>
    </row>
    <row r="19" spans="1:32" x14ac:dyDescent="0.25">
      <c r="A19" s="181"/>
      <c r="B19" s="178"/>
      <c r="C19" s="175"/>
      <c r="D19" s="180">
        <f t="shared" si="0"/>
        <v>0</v>
      </c>
      <c r="E19" s="4"/>
      <c r="F19" s="5"/>
      <c r="G19" s="4"/>
      <c r="H19" s="5"/>
      <c r="I19" s="124"/>
      <c r="J19" s="127"/>
      <c r="K19" s="129"/>
      <c r="L19" s="14"/>
      <c r="M19" s="25">
        <f t="shared" si="1"/>
        <v>0</v>
      </c>
      <c r="N19" s="140">
        <f t="shared" si="2"/>
        <v>0</v>
      </c>
      <c r="O19" s="143"/>
      <c r="Q19" s="51"/>
      <c r="R19" s="54" t="s">
        <v>85</v>
      </c>
      <c r="S19" s="55"/>
      <c r="T19" s="63"/>
      <c r="U19" s="56">
        <f>SUM(C7:C70)</f>
        <v>0</v>
      </c>
      <c r="V19" s="37"/>
      <c r="Z19" s="22" t="s">
        <v>82</v>
      </c>
      <c r="AA19" s="101">
        <f t="shared" si="3"/>
        <v>0</v>
      </c>
      <c r="AB19" s="40">
        <f t="shared" si="4"/>
        <v>0</v>
      </c>
      <c r="AC19" s="40">
        <f t="shared" si="5"/>
        <v>0</v>
      </c>
      <c r="AD19" s="40">
        <f t="shared" si="6"/>
        <v>0</v>
      </c>
      <c r="AE19" s="40">
        <f t="shared" si="7"/>
        <v>0</v>
      </c>
      <c r="AF19" s="102">
        <f t="shared" si="8"/>
        <v>0</v>
      </c>
    </row>
    <row r="20" spans="1:32" x14ac:dyDescent="0.25">
      <c r="A20" s="181"/>
      <c r="B20" s="178"/>
      <c r="C20" s="175"/>
      <c r="D20" s="180">
        <f t="shared" si="0"/>
        <v>0</v>
      </c>
      <c r="E20" s="4"/>
      <c r="F20" s="5"/>
      <c r="G20" s="4"/>
      <c r="H20" s="5"/>
      <c r="I20" s="124"/>
      <c r="J20" s="127"/>
      <c r="K20" s="129"/>
      <c r="L20" s="14"/>
      <c r="M20" s="25">
        <f t="shared" si="1"/>
        <v>0</v>
      </c>
      <c r="N20" s="140">
        <f t="shared" si="2"/>
        <v>0</v>
      </c>
      <c r="O20" s="143"/>
      <c r="Q20" s="135"/>
      <c r="R20" s="60" t="s">
        <v>84</v>
      </c>
      <c r="S20" s="61"/>
      <c r="T20" s="65"/>
      <c r="U20" s="62">
        <f>SUM(N7:N70)</f>
        <v>0</v>
      </c>
      <c r="V20" s="135"/>
      <c r="Z20" s="22" t="s">
        <v>83</v>
      </c>
      <c r="AA20" s="101">
        <f t="shared" si="3"/>
        <v>0</v>
      </c>
      <c r="AB20" s="40">
        <f t="shared" si="4"/>
        <v>0</v>
      </c>
      <c r="AC20" s="40">
        <f t="shared" si="5"/>
        <v>0</v>
      </c>
      <c r="AD20" s="40">
        <f t="shared" si="6"/>
        <v>0</v>
      </c>
      <c r="AE20" s="40">
        <f t="shared" si="7"/>
        <v>0</v>
      </c>
      <c r="AF20" s="102">
        <f t="shared" si="8"/>
        <v>0</v>
      </c>
    </row>
    <row r="21" spans="1:32" ht="15.75" thickBot="1" x14ac:dyDescent="0.3">
      <c r="A21" s="181"/>
      <c r="B21" s="178"/>
      <c r="C21" s="175"/>
      <c r="D21" s="180">
        <f t="shared" si="0"/>
        <v>0</v>
      </c>
      <c r="E21" s="4"/>
      <c r="F21" s="5"/>
      <c r="G21" s="4"/>
      <c r="H21" s="5"/>
      <c r="I21" s="124"/>
      <c r="J21" s="127"/>
      <c r="K21" s="129"/>
      <c r="L21" s="14"/>
      <c r="M21" s="25">
        <f t="shared" si="1"/>
        <v>0</v>
      </c>
      <c r="N21" s="140">
        <f t="shared" si="2"/>
        <v>0</v>
      </c>
      <c r="O21" s="143"/>
      <c r="Q21" s="51"/>
      <c r="R21" s="57" t="s">
        <v>92</v>
      </c>
      <c r="S21" s="58"/>
      <c r="T21" s="64"/>
      <c r="U21" s="59">
        <f>U20*1.15</f>
        <v>0</v>
      </c>
      <c r="V21" s="37"/>
      <c r="AA21" s="101">
        <f t="shared" si="3"/>
        <v>0</v>
      </c>
      <c r="AB21" s="40">
        <f t="shared" si="4"/>
        <v>0</v>
      </c>
      <c r="AC21" s="40">
        <f t="shared" si="5"/>
        <v>0</v>
      </c>
      <c r="AD21" s="40">
        <f t="shared" si="6"/>
        <v>0</v>
      </c>
      <c r="AE21" s="40">
        <f t="shared" si="7"/>
        <v>0</v>
      </c>
      <c r="AF21" s="102">
        <f t="shared" si="8"/>
        <v>0</v>
      </c>
    </row>
    <row r="22" spans="1:32" ht="15.75" thickBot="1" x14ac:dyDescent="0.3">
      <c r="A22" s="181"/>
      <c r="B22" s="178"/>
      <c r="C22" s="175"/>
      <c r="D22" s="180">
        <f t="shared" si="0"/>
        <v>0</v>
      </c>
      <c r="E22" s="4"/>
      <c r="F22" s="5"/>
      <c r="G22" s="4"/>
      <c r="H22" s="5"/>
      <c r="I22" s="124"/>
      <c r="J22" s="127"/>
      <c r="K22" s="129"/>
      <c r="L22" s="14"/>
      <c r="M22" s="25">
        <f t="shared" si="1"/>
        <v>0</v>
      </c>
      <c r="N22" s="140">
        <f t="shared" si="2"/>
        <v>0</v>
      </c>
      <c r="O22" s="143"/>
      <c r="Q22" s="53"/>
      <c r="R22" s="38"/>
      <c r="S22" s="38"/>
      <c r="T22" s="38"/>
      <c r="U22" s="38"/>
      <c r="V22" s="39"/>
      <c r="AA22" s="101">
        <f t="shared" si="3"/>
        <v>0</v>
      </c>
      <c r="AB22" s="40">
        <f t="shared" si="4"/>
        <v>0</v>
      </c>
      <c r="AC22" s="40">
        <f t="shared" si="5"/>
        <v>0</v>
      </c>
      <c r="AD22" s="40">
        <f t="shared" si="6"/>
        <v>0</v>
      </c>
      <c r="AE22" s="40">
        <f t="shared" si="7"/>
        <v>0</v>
      </c>
      <c r="AF22" s="102">
        <f t="shared" si="8"/>
        <v>0</v>
      </c>
    </row>
    <row r="23" spans="1:32" x14ac:dyDescent="0.25">
      <c r="A23" s="181"/>
      <c r="B23" s="178"/>
      <c r="C23" s="175"/>
      <c r="D23" s="180">
        <f t="shared" si="0"/>
        <v>0</v>
      </c>
      <c r="E23" s="4"/>
      <c r="F23" s="5"/>
      <c r="G23" s="4"/>
      <c r="H23" s="5"/>
      <c r="I23" s="124"/>
      <c r="J23" s="127"/>
      <c r="K23" s="129"/>
      <c r="L23" s="14"/>
      <c r="M23" s="25">
        <f t="shared" si="1"/>
        <v>0</v>
      </c>
      <c r="N23" s="140">
        <f t="shared" si="2"/>
        <v>0</v>
      </c>
      <c r="O23" s="143"/>
      <c r="AA23" s="101">
        <f t="shared" si="3"/>
        <v>0</v>
      </c>
      <c r="AB23" s="40">
        <f t="shared" si="4"/>
        <v>0</v>
      </c>
      <c r="AC23" s="40">
        <f t="shared" si="5"/>
        <v>0</v>
      </c>
      <c r="AD23" s="40">
        <f t="shared" si="6"/>
        <v>0</v>
      </c>
      <c r="AE23" s="40">
        <f t="shared" si="7"/>
        <v>0</v>
      </c>
      <c r="AF23" s="102">
        <f t="shared" si="8"/>
        <v>0</v>
      </c>
    </row>
    <row r="24" spans="1:32" x14ac:dyDescent="0.25">
      <c r="A24" s="181"/>
      <c r="B24" s="178"/>
      <c r="C24" s="175"/>
      <c r="D24" s="176">
        <f t="shared" si="0"/>
        <v>0</v>
      </c>
      <c r="E24" s="4"/>
      <c r="F24" s="5"/>
      <c r="G24" s="4"/>
      <c r="H24" s="5"/>
      <c r="I24" s="124"/>
      <c r="J24" s="127"/>
      <c r="K24" s="129"/>
      <c r="L24" s="14"/>
      <c r="M24" s="25">
        <f t="shared" si="1"/>
        <v>0</v>
      </c>
      <c r="N24" s="140">
        <f t="shared" si="2"/>
        <v>0</v>
      </c>
      <c r="O24" s="143"/>
      <c r="AA24" s="101">
        <f t="shared" si="3"/>
        <v>0</v>
      </c>
      <c r="AB24" s="40">
        <f t="shared" si="4"/>
        <v>0</v>
      </c>
      <c r="AC24" s="40">
        <f t="shared" si="5"/>
        <v>0</v>
      </c>
      <c r="AD24" s="40">
        <f t="shared" si="6"/>
        <v>0</v>
      </c>
      <c r="AE24" s="40">
        <f t="shared" si="7"/>
        <v>0</v>
      </c>
      <c r="AF24" s="102">
        <f t="shared" si="8"/>
        <v>0</v>
      </c>
    </row>
    <row r="25" spans="1:32" x14ac:dyDescent="0.25">
      <c r="A25" s="181"/>
      <c r="B25" s="178"/>
      <c r="C25" s="175"/>
      <c r="D25" s="180">
        <f t="shared" si="0"/>
        <v>0</v>
      </c>
      <c r="E25" s="4"/>
      <c r="F25" s="5"/>
      <c r="G25" s="4"/>
      <c r="H25" s="5"/>
      <c r="I25" s="124"/>
      <c r="J25" s="127"/>
      <c r="K25" s="129"/>
      <c r="L25" s="14"/>
      <c r="M25" s="25">
        <f t="shared" si="1"/>
        <v>0</v>
      </c>
      <c r="N25" s="140">
        <f t="shared" si="2"/>
        <v>0</v>
      </c>
      <c r="O25" s="143"/>
      <c r="AA25" s="101">
        <f t="shared" si="3"/>
        <v>0</v>
      </c>
      <c r="AB25" s="40">
        <f t="shared" si="4"/>
        <v>0</v>
      </c>
      <c r="AC25" s="40">
        <f t="shared" si="5"/>
        <v>0</v>
      </c>
      <c r="AD25" s="40">
        <f t="shared" si="6"/>
        <v>0</v>
      </c>
      <c r="AE25" s="40">
        <f t="shared" si="7"/>
        <v>0</v>
      </c>
      <c r="AF25" s="102">
        <f t="shared" si="8"/>
        <v>0</v>
      </c>
    </row>
    <row r="26" spans="1:32" x14ac:dyDescent="0.25">
      <c r="A26" s="181"/>
      <c r="B26" s="178"/>
      <c r="C26" s="175"/>
      <c r="D26" s="180">
        <f t="shared" si="0"/>
        <v>0</v>
      </c>
      <c r="E26" s="4"/>
      <c r="F26" s="5"/>
      <c r="G26" s="4"/>
      <c r="H26" s="5"/>
      <c r="I26" s="124"/>
      <c r="J26" s="127"/>
      <c r="K26" s="129"/>
      <c r="L26" s="14"/>
      <c r="M26" s="25">
        <f t="shared" si="1"/>
        <v>0</v>
      </c>
      <c r="N26" s="140">
        <f t="shared" si="2"/>
        <v>0</v>
      </c>
      <c r="O26" s="143"/>
      <c r="AA26" s="101">
        <f t="shared" si="3"/>
        <v>0</v>
      </c>
      <c r="AB26" s="40">
        <f t="shared" si="4"/>
        <v>0</v>
      </c>
      <c r="AC26" s="40">
        <f t="shared" si="5"/>
        <v>0</v>
      </c>
      <c r="AD26" s="40">
        <f t="shared" si="6"/>
        <v>0</v>
      </c>
      <c r="AE26" s="40">
        <f t="shared" si="7"/>
        <v>0</v>
      </c>
      <c r="AF26" s="102">
        <f t="shared" si="8"/>
        <v>0</v>
      </c>
    </row>
    <row r="27" spans="1:32" x14ac:dyDescent="0.25">
      <c r="A27" s="181"/>
      <c r="B27" s="178"/>
      <c r="C27" s="175"/>
      <c r="D27" s="180">
        <f t="shared" si="0"/>
        <v>0</v>
      </c>
      <c r="E27" s="4"/>
      <c r="F27" s="5"/>
      <c r="G27" s="4"/>
      <c r="H27" s="5"/>
      <c r="I27" s="124"/>
      <c r="J27" s="127"/>
      <c r="K27" s="129"/>
      <c r="L27" s="14"/>
      <c r="M27" s="25">
        <f t="shared" si="1"/>
        <v>0</v>
      </c>
      <c r="N27" s="140">
        <f t="shared" si="2"/>
        <v>0</v>
      </c>
      <c r="O27" s="143"/>
      <c r="AA27" s="101">
        <f t="shared" si="3"/>
        <v>0</v>
      </c>
      <c r="AB27" s="40">
        <f t="shared" si="4"/>
        <v>0</v>
      </c>
      <c r="AC27" s="40">
        <f t="shared" si="5"/>
        <v>0</v>
      </c>
      <c r="AD27" s="40">
        <f t="shared" si="6"/>
        <v>0</v>
      </c>
      <c r="AE27" s="40">
        <f t="shared" si="7"/>
        <v>0</v>
      </c>
      <c r="AF27" s="102">
        <f t="shared" si="8"/>
        <v>0</v>
      </c>
    </row>
    <row r="28" spans="1:32" x14ac:dyDescent="0.25">
      <c r="A28" s="181"/>
      <c r="B28" s="178"/>
      <c r="C28" s="175"/>
      <c r="D28" s="180">
        <f t="shared" si="0"/>
        <v>0</v>
      </c>
      <c r="E28" s="4"/>
      <c r="F28" s="5"/>
      <c r="G28" s="4"/>
      <c r="H28" s="5"/>
      <c r="I28" s="124"/>
      <c r="J28" s="127"/>
      <c r="K28" s="129"/>
      <c r="L28" s="14"/>
      <c r="M28" s="25">
        <f t="shared" si="1"/>
        <v>0</v>
      </c>
      <c r="N28" s="140">
        <f t="shared" si="2"/>
        <v>0</v>
      </c>
      <c r="O28" s="143"/>
      <c r="AA28" s="101">
        <f t="shared" si="3"/>
        <v>0</v>
      </c>
      <c r="AB28" s="40">
        <f t="shared" si="4"/>
        <v>0</v>
      </c>
      <c r="AC28" s="40">
        <f t="shared" si="5"/>
        <v>0</v>
      </c>
      <c r="AD28" s="40">
        <f t="shared" si="6"/>
        <v>0</v>
      </c>
      <c r="AE28" s="40">
        <f t="shared" si="7"/>
        <v>0</v>
      </c>
      <c r="AF28" s="102">
        <f t="shared" si="8"/>
        <v>0</v>
      </c>
    </row>
    <row r="29" spans="1:32" x14ac:dyDescent="0.25">
      <c r="A29" s="181"/>
      <c r="B29" s="178"/>
      <c r="C29" s="175"/>
      <c r="D29" s="180">
        <f t="shared" si="0"/>
        <v>0</v>
      </c>
      <c r="E29" s="4"/>
      <c r="F29" s="5"/>
      <c r="G29" s="4"/>
      <c r="H29" s="5"/>
      <c r="I29" s="124"/>
      <c r="J29" s="127"/>
      <c r="K29" s="129"/>
      <c r="L29" s="14"/>
      <c r="M29" s="25">
        <f t="shared" si="1"/>
        <v>0</v>
      </c>
      <c r="N29" s="140">
        <f t="shared" si="2"/>
        <v>0</v>
      </c>
      <c r="O29" s="143"/>
      <c r="AA29" s="101">
        <f t="shared" si="3"/>
        <v>0</v>
      </c>
      <c r="AB29" s="40">
        <f t="shared" si="4"/>
        <v>0</v>
      </c>
      <c r="AC29" s="40">
        <f t="shared" si="5"/>
        <v>0</v>
      </c>
      <c r="AD29" s="40">
        <f t="shared" si="6"/>
        <v>0</v>
      </c>
      <c r="AE29" s="40">
        <f t="shared" si="7"/>
        <v>0</v>
      </c>
      <c r="AF29" s="102">
        <f t="shared" si="8"/>
        <v>0</v>
      </c>
    </row>
    <row r="30" spans="1:32" x14ac:dyDescent="0.25">
      <c r="A30" s="181"/>
      <c r="B30" s="178"/>
      <c r="C30" s="175"/>
      <c r="D30" s="180">
        <f t="shared" si="0"/>
        <v>0</v>
      </c>
      <c r="E30" s="4"/>
      <c r="F30" s="5"/>
      <c r="G30" s="4"/>
      <c r="H30" s="5"/>
      <c r="I30" s="124"/>
      <c r="J30" s="127"/>
      <c r="K30" s="129"/>
      <c r="L30" s="14"/>
      <c r="M30" s="25">
        <f t="shared" si="1"/>
        <v>0</v>
      </c>
      <c r="N30" s="140">
        <f t="shared" si="2"/>
        <v>0</v>
      </c>
      <c r="O30" s="143"/>
      <c r="AA30" s="101">
        <f t="shared" si="3"/>
        <v>0</v>
      </c>
      <c r="AB30" s="40">
        <f t="shared" si="4"/>
        <v>0</v>
      </c>
      <c r="AC30" s="40">
        <f t="shared" si="5"/>
        <v>0</v>
      </c>
      <c r="AD30" s="40">
        <f t="shared" si="6"/>
        <v>0</v>
      </c>
      <c r="AE30" s="40">
        <f t="shared" si="7"/>
        <v>0</v>
      </c>
      <c r="AF30" s="102">
        <f t="shared" si="8"/>
        <v>0</v>
      </c>
    </row>
    <row r="31" spans="1:32" x14ac:dyDescent="0.25">
      <c r="A31" s="181"/>
      <c r="B31" s="178"/>
      <c r="C31" s="175"/>
      <c r="D31" s="180">
        <f t="shared" si="0"/>
        <v>0</v>
      </c>
      <c r="E31" s="4"/>
      <c r="F31" s="5"/>
      <c r="G31" s="4"/>
      <c r="H31" s="5"/>
      <c r="I31" s="124"/>
      <c r="J31" s="127"/>
      <c r="K31" s="129"/>
      <c r="L31" s="14"/>
      <c r="M31" s="25">
        <f t="shared" si="1"/>
        <v>0</v>
      </c>
      <c r="N31" s="140">
        <f t="shared" si="2"/>
        <v>0</v>
      </c>
      <c r="O31" s="143"/>
      <c r="AA31" s="101">
        <f t="shared" si="3"/>
        <v>0</v>
      </c>
      <c r="AB31" s="40">
        <f t="shared" si="4"/>
        <v>0</v>
      </c>
      <c r="AC31" s="40">
        <f t="shared" si="5"/>
        <v>0</v>
      </c>
      <c r="AD31" s="40">
        <f t="shared" si="6"/>
        <v>0</v>
      </c>
      <c r="AE31" s="40">
        <f t="shared" si="7"/>
        <v>0</v>
      </c>
      <c r="AF31" s="102">
        <f t="shared" si="8"/>
        <v>0</v>
      </c>
    </row>
    <row r="32" spans="1:32" x14ac:dyDescent="0.25">
      <c r="A32" s="181"/>
      <c r="B32" s="178"/>
      <c r="C32" s="175"/>
      <c r="D32" s="180">
        <f t="shared" si="0"/>
        <v>0</v>
      </c>
      <c r="E32" s="4"/>
      <c r="F32" s="5"/>
      <c r="G32" s="4"/>
      <c r="H32" s="5"/>
      <c r="I32" s="124"/>
      <c r="J32" s="127"/>
      <c r="K32" s="129"/>
      <c r="L32" s="14"/>
      <c r="M32" s="25">
        <f t="shared" si="1"/>
        <v>0</v>
      </c>
      <c r="N32" s="140">
        <f t="shared" si="2"/>
        <v>0</v>
      </c>
      <c r="O32" s="143"/>
      <c r="AA32" s="101">
        <f t="shared" si="3"/>
        <v>0</v>
      </c>
      <c r="AB32" s="40">
        <f t="shared" si="4"/>
        <v>0</v>
      </c>
      <c r="AC32" s="40">
        <f t="shared" si="5"/>
        <v>0</v>
      </c>
      <c r="AD32" s="40">
        <f t="shared" si="6"/>
        <v>0</v>
      </c>
      <c r="AE32" s="40">
        <f t="shared" si="7"/>
        <v>0</v>
      </c>
      <c r="AF32" s="102">
        <f t="shared" si="8"/>
        <v>0</v>
      </c>
    </row>
    <row r="33" spans="1:32" x14ac:dyDescent="0.25">
      <c r="A33" s="181"/>
      <c r="B33" s="178"/>
      <c r="C33" s="175"/>
      <c r="D33" s="180">
        <f t="shared" si="0"/>
        <v>0</v>
      </c>
      <c r="E33" s="4"/>
      <c r="F33" s="5"/>
      <c r="G33" s="4"/>
      <c r="H33" s="5"/>
      <c r="I33" s="124"/>
      <c r="J33" s="127"/>
      <c r="K33" s="129"/>
      <c r="L33" s="14"/>
      <c r="M33" s="25">
        <f t="shared" si="1"/>
        <v>0</v>
      </c>
      <c r="N33" s="140">
        <f t="shared" si="2"/>
        <v>0</v>
      </c>
      <c r="O33" s="143"/>
      <c r="AA33" s="101">
        <f t="shared" si="3"/>
        <v>0</v>
      </c>
      <c r="AB33" s="40">
        <f t="shared" si="4"/>
        <v>0</v>
      </c>
      <c r="AC33" s="40">
        <f t="shared" si="5"/>
        <v>0</v>
      </c>
      <c r="AD33" s="40">
        <f t="shared" si="6"/>
        <v>0</v>
      </c>
      <c r="AE33" s="40">
        <f t="shared" si="7"/>
        <v>0</v>
      </c>
      <c r="AF33" s="102">
        <f t="shared" si="8"/>
        <v>0</v>
      </c>
    </row>
    <row r="34" spans="1:32" x14ac:dyDescent="0.25">
      <c r="A34" s="181"/>
      <c r="B34" s="178"/>
      <c r="C34" s="175"/>
      <c r="D34" s="180">
        <f t="shared" si="0"/>
        <v>0</v>
      </c>
      <c r="E34" s="4"/>
      <c r="F34" s="5"/>
      <c r="G34" s="4"/>
      <c r="H34" s="5"/>
      <c r="I34" s="124"/>
      <c r="J34" s="127"/>
      <c r="K34" s="129"/>
      <c r="L34" s="14"/>
      <c r="M34" s="25">
        <f t="shared" si="1"/>
        <v>0</v>
      </c>
      <c r="N34" s="140">
        <f t="shared" si="2"/>
        <v>0</v>
      </c>
      <c r="O34" s="143"/>
      <c r="AA34" s="101">
        <f t="shared" si="3"/>
        <v>0</v>
      </c>
      <c r="AB34" s="40">
        <f t="shared" si="4"/>
        <v>0</v>
      </c>
      <c r="AC34" s="40">
        <f t="shared" si="5"/>
        <v>0</v>
      </c>
      <c r="AD34" s="40">
        <f t="shared" si="6"/>
        <v>0</v>
      </c>
      <c r="AE34" s="40">
        <f t="shared" si="7"/>
        <v>0</v>
      </c>
      <c r="AF34" s="102">
        <f t="shared" si="8"/>
        <v>0</v>
      </c>
    </row>
    <row r="35" spans="1:32" x14ac:dyDescent="0.25">
      <c r="A35" s="181"/>
      <c r="B35" s="178"/>
      <c r="C35" s="175"/>
      <c r="D35" s="180">
        <f t="shared" si="0"/>
        <v>0</v>
      </c>
      <c r="E35" s="4"/>
      <c r="F35" s="5"/>
      <c r="G35" s="4"/>
      <c r="H35" s="5"/>
      <c r="I35" s="124"/>
      <c r="J35" s="127"/>
      <c r="K35" s="129"/>
      <c r="L35" s="14"/>
      <c r="M35" s="25">
        <f t="shared" si="1"/>
        <v>0</v>
      </c>
      <c r="N35" s="140">
        <f t="shared" si="2"/>
        <v>0</v>
      </c>
      <c r="O35" s="143"/>
      <c r="AA35" s="101">
        <f t="shared" si="3"/>
        <v>0</v>
      </c>
      <c r="AB35" s="40">
        <f t="shared" si="4"/>
        <v>0</v>
      </c>
      <c r="AC35" s="40">
        <f t="shared" si="5"/>
        <v>0</v>
      </c>
      <c r="AD35" s="40">
        <f t="shared" si="6"/>
        <v>0</v>
      </c>
      <c r="AE35" s="40">
        <f t="shared" si="7"/>
        <v>0</v>
      </c>
      <c r="AF35" s="102">
        <f t="shared" si="8"/>
        <v>0</v>
      </c>
    </row>
    <row r="36" spans="1:32" x14ac:dyDescent="0.25">
      <c r="A36" s="181"/>
      <c r="B36" s="178"/>
      <c r="C36" s="175"/>
      <c r="D36" s="176">
        <f t="shared" si="0"/>
        <v>0</v>
      </c>
      <c r="E36" s="4"/>
      <c r="F36" s="5"/>
      <c r="G36" s="4"/>
      <c r="H36" s="5"/>
      <c r="I36" s="124"/>
      <c r="J36" s="127"/>
      <c r="K36" s="129"/>
      <c r="L36" s="14"/>
      <c r="M36" s="25">
        <f t="shared" si="1"/>
        <v>0</v>
      </c>
      <c r="N36" s="140">
        <f t="shared" si="2"/>
        <v>0</v>
      </c>
      <c r="O36" s="143"/>
      <c r="AA36" s="101">
        <f t="shared" si="3"/>
        <v>0</v>
      </c>
      <c r="AB36" s="40">
        <f t="shared" si="4"/>
        <v>0</v>
      </c>
      <c r="AC36" s="40">
        <f t="shared" si="5"/>
        <v>0</v>
      </c>
      <c r="AD36" s="40">
        <f t="shared" si="6"/>
        <v>0</v>
      </c>
      <c r="AE36" s="40">
        <f t="shared" si="7"/>
        <v>0</v>
      </c>
      <c r="AF36" s="102">
        <f t="shared" si="8"/>
        <v>0</v>
      </c>
    </row>
    <row r="37" spans="1:32" x14ac:dyDescent="0.25">
      <c r="A37" s="181"/>
      <c r="B37" s="178"/>
      <c r="C37" s="175"/>
      <c r="D37" s="180">
        <f t="shared" si="0"/>
        <v>0</v>
      </c>
      <c r="E37" s="4"/>
      <c r="F37" s="5"/>
      <c r="G37" s="4"/>
      <c r="H37" s="5"/>
      <c r="I37" s="124"/>
      <c r="J37" s="127"/>
      <c r="K37" s="129"/>
      <c r="L37" s="14"/>
      <c r="M37" s="25">
        <f t="shared" si="1"/>
        <v>0</v>
      </c>
      <c r="N37" s="140">
        <f t="shared" si="2"/>
        <v>0</v>
      </c>
      <c r="O37" s="143"/>
      <c r="AA37" s="101">
        <f t="shared" si="3"/>
        <v>0</v>
      </c>
      <c r="AB37" s="40">
        <f t="shared" si="4"/>
        <v>0</v>
      </c>
      <c r="AC37" s="40">
        <f t="shared" si="5"/>
        <v>0</v>
      </c>
      <c r="AD37" s="40">
        <f t="shared" si="6"/>
        <v>0</v>
      </c>
      <c r="AE37" s="40">
        <f t="shared" si="7"/>
        <v>0</v>
      </c>
      <c r="AF37" s="102">
        <f t="shared" si="8"/>
        <v>0</v>
      </c>
    </row>
    <row r="38" spans="1:32" x14ac:dyDescent="0.25">
      <c r="A38" s="181"/>
      <c r="B38" s="178"/>
      <c r="C38" s="175"/>
      <c r="D38" s="180">
        <f t="shared" si="0"/>
        <v>0</v>
      </c>
      <c r="E38" s="4"/>
      <c r="F38" s="5"/>
      <c r="G38" s="4"/>
      <c r="H38" s="5"/>
      <c r="I38" s="124"/>
      <c r="J38" s="127"/>
      <c r="K38" s="129"/>
      <c r="L38" s="14"/>
      <c r="M38" s="25">
        <f t="shared" si="1"/>
        <v>0</v>
      </c>
      <c r="N38" s="140">
        <f t="shared" si="2"/>
        <v>0</v>
      </c>
      <c r="O38" s="143"/>
      <c r="AA38" s="101">
        <f t="shared" si="3"/>
        <v>0</v>
      </c>
      <c r="AB38" s="40">
        <f t="shared" si="4"/>
        <v>0</v>
      </c>
      <c r="AC38" s="40">
        <f t="shared" si="5"/>
        <v>0</v>
      </c>
      <c r="AD38" s="40">
        <f t="shared" si="6"/>
        <v>0</v>
      </c>
      <c r="AE38" s="40">
        <f t="shared" si="7"/>
        <v>0</v>
      </c>
      <c r="AF38" s="102">
        <f t="shared" si="8"/>
        <v>0</v>
      </c>
    </row>
    <row r="39" spans="1:32" x14ac:dyDescent="0.25">
      <c r="A39" s="181"/>
      <c r="B39" s="178"/>
      <c r="C39" s="175"/>
      <c r="D39" s="180">
        <f t="shared" ref="D39:D70" si="9">L39+(E39*F39)+(G39*H39)+(I39*J39)</f>
        <v>0</v>
      </c>
      <c r="E39" s="4"/>
      <c r="F39" s="5"/>
      <c r="G39" s="4"/>
      <c r="H39" s="5"/>
      <c r="I39" s="124"/>
      <c r="J39" s="127"/>
      <c r="K39" s="129"/>
      <c r="L39" s="14"/>
      <c r="M39" s="25">
        <f t="shared" ref="M39:M60" si="10">L39*C39</f>
        <v>0</v>
      </c>
      <c r="N39" s="140">
        <f t="shared" ref="N39:N60" si="11">C39*D39</f>
        <v>0</v>
      </c>
      <c r="O39" s="143"/>
      <c r="AA39" s="101">
        <f t="shared" ref="AA39:AA60" si="12">C39*E39</f>
        <v>0</v>
      </c>
      <c r="AB39" s="40">
        <f t="shared" ref="AB39:AB60" si="13">(C39*E39)*F39</f>
        <v>0</v>
      </c>
      <c r="AC39" s="40">
        <f t="shared" ref="AC39:AC60" si="14">C39*I39</f>
        <v>0</v>
      </c>
      <c r="AD39" s="40">
        <f t="shared" ref="AD39:AD60" si="15">(C39*I39)*J39</f>
        <v>0</v>
      </c>
      <c r="AE39" s="40">
        <f t="shared" ref="AE39:AE60" si="16">C39*G39</f>
        <v>0</v>
      </c>
      <c r="AF39" s="102">
        <f t="shared" ref="AF39:AF60" si="17">(C39*G39)*H39</f>
        <v>0</v>
      </c>
    </row>
    <row r="40" spans="1:32" x14ac:dyDescent="0.25">
      <c r="A40" s="181"/>
      <c r="B40" s="178"/>
      <c r="C40" s="175"/>
      <c r="D40" s="180">
        <f t="shared" si="9"/>
        <v>0</v>
      </c>
      <c r="E40" s="4"/>
      <c r="F40" s="5"/>
      <c r="G40" s="4"/>
      <c r="H40" s="5"/>
      <c r="I40" s="124"/>
      <c r="J40" s="127"/>
      <c r="K40" s="129"/>
      <c r="L40" s="14"/>
      <c r="M40" s="25">
        <f t="shared" si="10"/>
        <v>0</v>
      </c>
      <c r="N40" s="140">
        <f t="shared" si="11"/>
        <v>0</v>
      </c>
      <c r="O40" s="143"/>
      <c r="AA40" s="101">
        <f t="shared" si="12"/>
        <v>0</v>
      </c>
      <c r="AB40" s="40">
        <f t="shared" si="13"/>
        <v>0</v>
      </c>
      <c r="AC40" s="40">
        <f t="shared" si="14"/>
        <v>0</v>
      </c>
      <c r="AD40" s="40">
        <f t="shared" si="15"/>
        <v>0</v>
      </c>
      <c r="AE40" s="40">
        <f t="shared" si="16"/>
        <v>0</v>
      </c>
      <c r="AF40" s="102">
        <f t="shared" si="17"/>
        <v>0</v>
      </c>
    </row>
    <row r="41" spans="1:32" x14ac:dyDescent="0.25">
      <c r="A41" s="181"/>
      <c r="B41" s="178"/>
      <c r="C41" s="175"/>
      <c r="D41" s="180">
        <f t="shared" si="9"/>
        <v>0</v>
      </c>
      <c r="E41" s="4"/>
      <c r="F41" s="5"/>
      <c r="G41" s="4"/>
      <c r="H41" s="5"/>
      <c r="I41" s="124"/>
      <c r="J41" s="127"/>
      <c r="K41" s="129"/>
      <c r="L41" s="14"/>
      <c r="M41" s="25">
        <f t="shared" si="10"/>
        <v>0</v>
      </c>
      <c r="N41" s="140">
        <f t="shared" si="11"/>
        <v>0</v>
      </c>
      <c r="O41" s="143"/>
      <c r="AA41" s="101">
        <f t="shared" si="12"/>
        <v>0</v>
      </c>
      <c r="AB41" s="40">
        <f t="shared" si="13"/>
        <v>0</v>
      </c>
      <c r="AC41" s="40">
        <f t="shared" si="14"/>
        <v>0</v>
      </c>
      <c r="AD41" s="40">
        <f t="shared" si="15"/>
        <v>0</v>
      </c>
      <c r="AE41" s="40">
        <f t="shared" si="16"/>
        <v>0</v>
      </c>
      <c r="AF41" s="102">
        <f t="shared" si="17"/>
        <v>0</v>
      </c>
    </row>
    <row r="42" spans="1:32" x14ac:dyDescent="0.25">
      <c r="A42" s="181"/>
      <c r="B42" s="178"/>
      <c r="C42" s="175"/>
      <c r="D42" s="180">
        <f t="shared" si="9"/>
        <v>0</v>
      </c>
      <c r="E42" s="4"/>
      <c r="F42" s="5"/>
      <c r="G42" s="4"/>
      <c r="H42" s="5"/>
      <c r="I42" s="124"/>
      <c r="J42" s="127"/>
      <c r="K42" s="129"/>
      <c r="L42" s="14"/>
      <c r="M42" s="25">
        <f t="shared" si="10"/>
        <v>0</v>
      </c>
      <c r="N42" s="140">
        <f t="shared" si="11"/>
        <v>0</v>
      </c>
      <c r="O42" s="143"/>
      <c r="AA42" s="101">
        <f t="shared" si="12"/>
        <v>0</v>
      </c>
      <c r="AB42" s="40">
        <f t="shared" si="13"/>
        <v>0</v>
      </c>
      <c r="AC42" s="40">
        <f t="shared" si="14"/>
        <v>0</v>
      </c>
      <c r="AD42" s="40">
        <f t="shared" si="15"/>
        <v>0</v>
      </c>
      <c r="AE42" s="40">
        <f t="shared" si="16"/>
        <v>0</v>
      </c>
      <c r="AF42" s="102">
        <f t="shared" si="17"/>
        <v>0</v>
      </c>
    </row>
    <row r="43" spans="1:32" x14ac:dyDescent="0.25">
      <c r="A43" s="181"/>
      <c r="B43" s="178"/>
      <c r="C43" s="175"/>
      <c r="D43" s="180">
        <f t="shared" si="9"/>
        <v>0</v>
      </c>
      <c r="E43" s="4"/>
      <c r="F43" s="5"/>
      <c r="G43" s="4"/>
      <c r="H43" s="5"/>
      <c r="I43" s="124"/>
      <c r="J43" s="127"/>
      <c r="K43" s="129"/>
      <c r="L43" s="14"/>
      <c r="M43" s="25">
        <f t="shared" si="10"/>
        <v>0</v>
      </c>
      <c r="N43" s="140">
        <f t="shared" si="11"/>
        <v>0</v>
      </c>
      <c r="O43" s="143"/>
      <c r="AA43" s="101">
        <f t="shared" si="12"/>
        <v>0</v>
      </c>
      <c r="AB43" s="40">
        <f t="shared" si="13"/>
        <v>0</v>
      </c>
      <c r="AC43" s="40">
        <f t="shared" si="14"/>
        <v>0</v>
      </c>
      <c r="AD43" s="40">
        <f t="shared" si="15"/>
        <v>0</v>
      </c>
      <c r="AE43" s="40">
        <f t="shared" si="16"/>
        <v>0</v>
      </c>
      <c r="AF43" s="102">
        <f t="shared" si="17"/>
        <v>0</v>
      </c>
    </row>
    <row r="44" spans="1:32" x14ac:dyDescent="0.25">
      <c r="A44" s="181"/>
      <c r="B44" s="178"/>
      <c r="C44" s="175"/>
      <c r="D44" s="180">
        <f t="shared" si="9"/>
        <v>0</v>
      </c>
      <c r="E44" s="4"/>
      <c r="F44" s="5"/>
      <c r="G44" s="4"/>
      <c r="H44" s="5"/>
      <c r="I44" s="124"/>
      <c r="J44" s="127"/>
      <c r="K44" s="129"/>
      <c r="L44" s="14"/>
      <c r="M44" s="25">
        <f t="shared" ref="M44:M53" si="18">L44*C44</f>
        <v>0</v>
      </c>
      <c r="N44" s="140">
        <f t="shared" ref="N44:N53" si="19">C44*D44</f>
        <v>0</v>
      </c>
      <c r="O44" s="143"/>
      <c r="AA44" s="101">
        <f t="shared" ref="AA44:AA53" si="20">C44*E44</f>
        <v>0</v>
      </c>
      <c r="AB44" s="40">
        <f t="shared" ref="AB44:AB53" si="21">(C44*E44)*F44</f>
        <v>0</v>
      </c>
      <c r="AC44" s="40">
        <f t="shared" ref="AC44:AC53" si="22">C44*I44</f>
        <v>0</v>
      </c>
      <c r="AD44" s="40">
        <f t="shared" ref="AD44:AD53" si="23">(C44*I44)*J44</f>
        <v>0</v>
      </c>
      <c r="AE44" s="40">
        <f t="shared" ref="AE44:AE53" si="24">C44*G44</f>
        <v>0</v>
      </c>
      <c r="AF44" s="102">
        <f t="shared" ref="AF44:AF53" si="25">(C44*G44)*H44</f>
        <v>0</v>
      </c>
    </row>
    <row r="45" spans="1:32" x14ac:dyDescent="0.25">
      <c r="A45" s="181"/>
      <c r="B45" s="178"/>
      <c r="C45" s="175"/>
      <c r="D45" s="180">
        <f t="shared" si="9"/>
        <v>0</v>
      </c>
      <c r="E45" s="4"/>
      <c r="F45" s="5"/>
      <c r="G45" s="4"/>
      <c r="H45" s="5"/>
      <c r="I45" s="124"/>
      <c r="J45" s="127"/>
      <c r="K45" s="129"/>
      <c r="L45" s="14"/>
      <c r="M45" s="25">
        <f t="shared" si="18"/>
        <v>0</v>
      </c>
      <c r="N45" s="140">
        <f t="shared" si="19"/>
        <v>0</v>
      </c>
      <c r="O45" s="143"/>
      <c r="AA45" s="101">
        <f t="shared" si="20"/>
        <v>0</v>
      </c>
      <c r="AB45" s="40">
        <f t="shared" si="21"/>
        <v>0</v>
      </c>
      <c r="AC45" s="40">
        <f t="shared" si="22"/>
        <v>0</v>
      </c>
      <c r="AD45" s="40">
        <f t="shared" si="23"/>
        <v>0</v>
      </c>
      <c r="AE45" s="40">
        <f t="shared" si="24"/>
        <v>0</v>
      </c>
      <c r="AF45" s="102">
        <f t="shared" si="25"/>
        <v>0</v>
      </c>
    </row>
    <row r="46" spans="1:32" x14ac:dyDescent="0.25">
      <c r="A46" s="181"/>
      <c r="B46" s="178"/>
      <c r="C46" s="175"/>
      <c r="D46" s="180">
        <f t="shared" si="9"/>
        <v>0</v>
      </c>
      <c r="E46" s="4"/>
      <c r="F46" s="5"/>
      <c r="G46" s="4"/>
      <c r="H46" s="5"/>
      <c r="I46" s="124"/>
      <c r="J46" s="127"/>
      <c r="K46" s="129"/>
      <c r="L46" s="14"/>
      <c r="M46" s="25">
        <f t="shared" si="18"/>
        <v>0</v>
      </c>
      <c r="N46" s="140">
        <f t="shared" si="19"/>
        <v>0</v>
      </c>
      <c r="O46" s="143"/>
      <c r="AA46" s="101">
        <f t="shared" si="20"/>
        <v>0</v>
      </c>
      <c r="AB46" s="40">
        <f t="shared" si="21"/>
        <v>0</v>
      </c>
      <c r="AC46" s="40">
        <f t="shared" si="22"/>
        <v>0</v>
      </c>
      <c r="AD46" s="40">
        <f t="shared" si="23"/>
        <v>0</v>
      </c>
      <c r="AE46" s="40">
        <f t="shared" si="24"/>
        <v>0</v>
      </c>
      <c r="AF46" s="102">
        <f t="shared" si="25"/>
        <v>0</v>
      </c>
    </row>
    <row r="47" spans="1:32" x14ac:dyDescent="0.25">
      <c r="A47" s="181"/>
      <c r="B47" s="178"/>
      <c r="C47" s="175"/>
      <c r="D47" s="180">
        <f t="shared" si="9"/>
        <v>0</v>
      </c>
      <c r="E47" s="4"/>
      <c r="F47" s="5"/>
      <c r="G47" s="4"/>
      <c r="H47" s="5"/>
      <c r="I47" s="124"/>
      <c r="J47" s="127"/>
      <c r="K47" s="129"/>
      <c r="L47" s="14"/>
      <c r="M47" s="25">
        <f t="shared" si="18"/>
        <v>0</v>
      </c>
      <c r="N47" s="140">
        <f t="shared" si="19"/>
        <v>0</v>
      </c>
      <c r="O47" s="143"/>
      <c r="AA47" s="101">
        <f t="shared" si="20"/>
        <v>0</v>
      </c>
      <c r="AB47" s="40">
        <f t="shared" si="21"/>
        <v>0</v>
      </c>
      <c r="AC47" s="40">
        <f t="shared" si="22"/>
        <v>0</v>
      </c>
      <c r="AD47" s="40">
        <f t="shared" si="23"/>
        <v>0</v>
      </c>
      <c r="AE47" s="40">
        <f t="shared" si="24"/>
        <v>0</v>
      </c>
      <c r="AF47" s="102">
        <f t="shared" si="25"/>
        <v>0</v>
      </c>
    </row>
    <row r="48" spans="1:32" x14ac:dyDescent="0.25">
      <c r="A48" s="181"/>
      <c r="B48" s="178"/>
      <c r="C48" s="175"/>
      <c r="D48" s="180">
        <f t="shared" si="9"/>
        <v>0</v>
      </c>
      <c r="E48" s="4"/>
      <c r="F48" s="5"/>
      <c r="G48" s="4"/>
      <c r="H48" s="5"/>
      <c r="I48" s="124"/>
      <c r="J48" s="127"/>
      <c r="K48" s="129"/>
      <c r="L48" s="14"/>
      <c r="M48" s="25">
        <f t="shared" si="18"/>
        <v>0</v>
      </c>
      <c r="N48" s="140">
        <f t="shared" si="19"/>
        <v>0</v>
      </c>
      <c r="O48" s="143"/>
      <c r="AA48" s="101">
        <f t="shared" si="20"/>
        <v>0</v>
      </c>
      <c r="AB48" s="40">
        <f t="shared" si="21"/>
        <v>0</v>
      </c>
      <c r="AC48" s="40">
        <f t="shared" si="22"/>
        <v>0</v>
      </c>
      <c r="AD48" s="40">
        <f t="shared" si="23"/>
        <v>0</v>
      </c>
      <c r="AE48" s="40">
        <f t="shared" si="24"/>
        <v>0</v>
      </c>
      <c r="AF48" s="102">
        <f t="shared" si="25"/>
        <v>0</v>
      </c>
    </row>
    <row r="49" spans="1:32" x14ac:dyDescent="0.25">
      <c r="A49" s="181"/>
      <c r="B49" s="178"/>
      <c r="C49" s="175"/>
      <c r="D49" s="180">
        <f t="shared" si="9"/>
        <v>0</v>
      </c>
      <c r="E49" s="4"/>
      <c r="F49" s="5"/>
      <c r="G49" s="4"/>
      <c r="H49" s="5"/>
      <c r="I49" s="124"/>
      <c r="J49" s="127"/>
      <c r="K49" s="129"/>
      <c r="L49" s="14"/>
      <c r="M49" s="25">
        <f t="shared" si="18"/>
        <v>0</v>
      </c>
      <c r="N49" s="140">
        <f t="shared" si="19"/>
        <v>0</v>
      </c>
      <c r="O49" s="143"/>
      <c r="AA49" s="101">
        <f t="shared" si="20"/>
        <v>0</v>
      </c>
      <c r="AB49" s="40">
        <f t="shared" si="21"/>
        <v>0</v>
      </c>
      <c r="AC49" s="40">
        <f t="shared" si="22"/>
        <v>0</v>
      </c>
      <c r="AD49" s="40">
        <f t="shared" si="23"/>
        <v>0</v>
      </c>
      <c r="AE49" s="40">
        <f t="shared" si="24"/>
        <v>0</v>
      </c>
      <c r="AF49" s="102">
        <f t="shared" si="25"/>
        <v>0</v>
      </c>
    </row>
    <row r="50" spans="1:32" x14ac:dyDescent="0.25">
      <c r="A50" s="181"/>
      <c r="B50" s="178"/>
      <c r="C50" s="175"/>
      <c r="D50" s="180">
        <f t="shared" si="9"/>
        <v>0</v>
      </c>
      <c r="E50" s="4"/>
      <c r="F50" s="5"/>
      <c r="G50" s="4"/>
      <c r="H50" s="5"/>
      <c r="I50" s="124"/>
      <c r="J50" s="127"/>
      <c r="K50" s="129"/>
      <c r="L50" s="14"/>
      <c r="M50" s="25">
        <f t="shared" si="18"/>
        <v>0</v>
      </c>
      <c r="N50" s="140">
        <f t="shared" si="19"/>
        <v>0</v>
      </c>
      <c r="O50" s="143"/>
      <c r="AA50" s="101">
        <f t="shared" si="20"/>
        <v>0</v>
      </c>
      <c r="AB50" s="40">
        <f t="shared" si="21"/>
        <v>0</v>
      </c>
      <c r="AC50" s="40">
        <f t="shared" si="22"/>
        <v>0</v>
      </c>
      <c r="AD50" s="40">
        <f t="shared" si="23"/>
        <v>0</v>
      </c>
      <c r="AE50" s="40">
        <f t="shared" si="24"/>
        <v>0</v>
      </c>
      <c r="AF50" s="102">
        <f t="shared" si="25"/>
        <v>0</v>
      </c>
    </row>
    <row r="51" spans="1:32" x14ac:dyDescent="0.25">
      <c r="A51" s="181"/>
      <c r="B51" s="178"/>
      <c r="C51" s="175"/>
      <c r="D51" s="180">
        <f t="shared" si="9"/>
        <v>0</v>
      </c>
      <c r="E51" s="4"/>
      <c r="F51" s="5"/>
      <c r="G51" s="4"/>
      <c r="H51" s="5"/>
      <c r="I51" s="124"/>
      <c r="J51" s="127"/>
      <c r="K51" s="129"/>
      <c r="L51" s="14"/>
      <c r="M51" s="25">
        <f t="shared" si="18"/>
        <v>0</v>
      </c>
      <c r="N51" s="140">
        <f t="shared" si="19"/>
        <v>0</v>
      </c>
      <c r="O51" s="143"/>
      <c r="AA51" s="101">
        <f t="shared" si="20"/>
        <v>0</v>
      </c>
      <c r="AB51" s="40">
        <f t="shared" si="21"/>
        <v>0</v>
      </c>
      <c r="AC51" s="40">
        <f t="shared" si="22"/>
        <v>0</v>
      </c>
      <c r="AD51" s="40">
        <f t="shared" si="23"/>
        <v>0</v>
      </c>
      <c r="AE51" s="40">
        <f t="shared" si="24"/>
        <v>0</v>
      </c>
      <c r="AF51" s="102">
        <f t="shared" si="25"/>
        <v>0</v>
      </c>
    </row>
    <row r="52" spans="1:32" x14ac:dyDescent="0.25">
      <c r="A52" s="181"/>
      <c r="B52" s="178"/>
      <c r="C52" s="175"/>
      <c r="D52" s="180">
        <f t="shared" si="9"/>
        <v>0</v>
      </c>
      <c r="E52" s="4"/>
      <c r="F52" s="5"/>
      <c r="G52" s="4"/>
      <c r="H52" s="5"/>
      <c r="I52" s="124"/>
      <c r="J52" s="127"/>
      <c r="K52" s="129"/>
      <c r="L52" s="14"/>
      <c r="M52" s="25">
        <f t="shared" si="18"/>
        <v>0</v>
      </c>
      <c r="N52" s="140">
        <f t="shared" si="19"/>
        <v>0</v>
      </c>
      <c r="O52" s="143"/>
      <c r="AA52" s="101">
        <f t="shared" si="20"/>
        <v>0</v>
      </c>
      <c r="AB52" s="40">
        <f t="shared" si="21"/>
        <v>0</v>
      </c>
      <c r="AC52" s="40">
        <f t="shared" si="22"/>
        <v>0</v>
      </c>
      <c r="AD52" s="40">
        <f t="shared" si="23"/>
        <v>0</v>
      </c>
      <c r="AE52" s="40">
        <f t="shared" si="24"/>
        <v>0</v>
      </c>
      <c r="AF52" s="102">
        <f t="shared" si="25"/>
        <v>0</v>
      </c>
    </row>
    <row r="53" spans="1:32" x14ac:dyDescent="0.25">
      <c r="A53" s="181"/>
      <c r="B53" s="178"/>
      <c r="C53" s="175"/>
      <c r="D53" s="180">
        <f t="shared" si="9"/>
        <v>0</v>
      </c>
      <c r="E53" s="4"/>
      <c r="F53" s="5"/>
      <c r="G53" s="4"/>
      <c r="H53" s="5"/>
      <c r="I53" s="124"/>
      <c r="J53" s="127"/>
      <c r="K53" s="129"/>
      <c r="L53" s="14"/>
      <c r="M53" s="25">
        <f t="shared" si="18"/>
        <v>0</v>
      </c>
      <c r="N53" s="140">
        <f t="shared" si="19"/>
        <v>0</v>
      </c>
      <c r="O53" s="143"/>
      <c r="AA53" s="101">
        <f t="shared" si="20"/>
        <v>0</v>
      </c>
      <c r="AB53" s="40">
        <f t="shared" si="21"/>
        <v>0</v>
      </c>
      <c r="AC53" s="40">
        <f t="shared" si="22"/>
        <v>0</v>
      </c>
      <c r="AD53" s="40">
        <f t="shared" si="23"/>
        <v>0</v>
      </c>
      <c r="AE53" s="40">
        <f t="shared" si="24"/>
        <v>0</v>
      </c>
      <c r="AF53" s="102">
        <f t="shared" si="25"/>
        <v>0</v>
      </c>
    </row>
    <row r="54" spans="1:32" x14ac:dyDescent="0.25">
      <c r="A54" s="181"/>
      <c r="B54" s="178"/>
      <c r="C54" s="175"/>
      <c r="D54" s="180">
        <f t="shared" si="9"/>
        <v>0</v>
      </c>
      <c r="E54" s="4"/>
      <c r="F54" s="5"/>
      <c r="G54" s="4"/>
      <c r="H54" s="5"/>
      <c r="I54" s="124"/>
      <c r="J54" s="127"/>
      <c r="K54" s="129"/>
      <c r="L54" s="14"/>
      <c r="M54" s="25">
        <f t="shared" si="10"/>
        <v>0</v>
      </c>
      <c r="N54" s="140">
        <f t="shared" si="11"/>
        <v>0</v>
      </c>
      <c r="O54" s="143"/>
      <c r="AA54" s="101">
        <f t="shared" si="12"/>
        <v>0</v>
      </c>
      <c r="AB54" s="40">
        <f t="shared" si="13"/>
        <v>0</v>
      </c>
      <c r="AC54" s="40">
        <f t="shared" si="14"/>
        <v>0</v>
      </c>
      <c r="AD54" s="40">
        <f t="shared" si="15"/>
        <v>0</v>
      </c>
      <c r="AE54" s="40">
        <f t="shared" si="16"/>
        <v>0</v>
      </c>
      <c r="AF54" s="102">
        <f t="shared" si="17"/>
        <v>0</v>
      </c>
    </row>
    <row r="55" spans="1:32" x14ac:dyDescent="0.25">
      <c r="A55" s="181"/>
      <c r="B55" s="178"/>
      <c r="C55" s="175"/>
      <c r="D55" s="180">
        <f t="shared" si="9"/>
        <v>0</v>
      </c>
      <c r="E55" s="4"/>
      <c r="F55" s="5"/>
      <c r="G55" s="4"/>
      <c r="H55" s="5"/>
      <c r="I55" s="124"/>
      <c r="J55" s="127"/>
      <c r="K55" s="129"/>
      <c r="L55" s="14"/>
      <c r="M55" s="25">
        <f t="shared" si="10"/>
        <v>0</v>
      </c>
      <c r="N55" s="140">
        <f t="shared" si="11"/>
        <v>0</v>
      </c>
      <c r="O55" s="143"/>
      <c r="AA55" s="101">
        <f t="shared" si="12"/>
        <v>0</v>
      </c>
      <c r="AB55" s="40">
        <f t="shared" si="13"/>
        <v>0</v>
      </c>
      <c r="AC55" s="40">
        <f t="shared" si="14"/>
        <v>0</v>
      </c>
      <c r="AD55" s="40">
        <f t="shared" si="15"/>
        <v>0</v>
      </c>
      <c r="AE55" s="40">
        <f t="shared" si="16"/>
        <v>0</v>
      </c>
      <c r="AF55" s="102">
        <f t="shared" si="17"/>
        <v>0</v>
      </c>
    </row>
    <row r="56" spans="1:32" x14ac:dyDescent="0.25">
      <c r="A56" s="181"/>
      <c r="B56" s="178"/>
      <c r="C56" s="175"/>
      <c r="D56" s="180">
        <f t="shared" si="9"/>
        <v>0</v>
      </c>
      <c r="E56" s="4"/>
      <c r="F56" s="5"/>
      <c r="G56" s="4"/>
      <c r="H56" s="5"/>
      <c r="I56" s="124"/>
      <c r="J56" s="127"/>
      <c r="K56" s="129"/>
      <c r="L56" s="14"/>
      <c r="M56" s="25">
        <f t="shared" si="10"/>
        <v>0</v>
      </c>
      <c r="N56" s="140">
        <f t="shared" si="11"/>
        <v>0</v>
      </c>
      <c r="O56" s="143"/>
      <c r="AA56" s="101">
        <f t="shared" si="12"/>
        <v>0</v>
      </c>
      <c r="AB56" s="40">
        <f t="shared" si="13"/>
        <v>0</v>
      </c>
      <c r="AC56" s="40">
        <f t="shared" si="14"/>
        <v>0</v>
      </c>
      <c r="AD56" s="40">
        <f t="shared" si="15"/>
        <v>0</v>
      </c>
      <c r="AE56" s="40">
        <f t="shared" si="16"/>
        <v>0</v>
      </c>
      <c r="AF56" s="102">
        <f t="shared" si="17"/>
        <v>0</v>
      </c>
    </row>
    <row r="57" spans="1:32" x14ac:dyDescent="0.25">
      <c r="A57" s="181"/>
      <c r="B57" s="178"/>
      <c r="C57" s="175"/>
      <c r="D57" s="180">
        <f t="shared" si="9"/>
        <v>0</v>
      </c>
      <c r="E57" s="4"/>
      <c r="F57" s="5"/>
      <c r="G57" s="4"/>
      <c r="H57" s="5"/>
      <c r="I57" s="124"/>
      <c r="J57" s="127"/>
      <c r="K57" s="129"/>
      <c r="L57" s="14"/>
      <c r="M57" s="25">
        <f t="shared" si="10"/>
        <v>0</v>
      </c>
      <c r="N57" s="140">
        <f t="shared" si="11"/>
        <v>0</v>
      </c>
      <c r="O57" s="143"/>
      <c r="AA57" s="101">
        <f t="shared" si="12"/>
        <v>0</v>
      </c>
      <c r="AB57" s="40">
        <f t="shared" si="13"/>
        <v>0</v>
      </c>
      <c r="AC57" s="40">
        <f t="shared" si="14"/>
        <v>0</v>
      </c>
      <c r="AD57" s="40">
        <f t="shared" si="15"/>
        <v>0</v>
      </c>
      <c r="AE57" s="40">
        <f t="shared" si="16"/>
        <v>0</v>
      </c>
      <c r="AF57" s="102">
        <f t="shared" si="17"/>
        <v>0</v>
      </c>
    </row>
    <row r="58" spans="1:32" x14ac:dyDescent="0.25">
      <c r="A58" s="181"/>
      <c r="B58" s="178"/>
      <c r="C58" s="175"/>
      <c r="D58" s="180">
        <f t="shared" si="9"/>
        <v>0</v>
      </c>
      <c r="E58" s="4"/>
      <c r="F58" s="5"/>
      <c r="G58" s="4"/>
      <c r="H58" s="5"/>
      <c r="I58" s="124"/>
      <c r="J58" s="127"/>
      <c r="K58" s="129"/>
      <c r="L58" s="14"/>
      <c r="M58" s="25">
        <f t="shared" si="10"/>
        <v>0</v>
      </c>
      <c r="N58" s="140">
        <f t="shared" si="11"/>
        <v>0</v>
      </c>
      <c r="O58" s="143"/>
      <c r="AA58" s="101">
        <f t="shared" si="12"/>
        <v>0</v>
      </c>
      <c r="AB58" s="40">
        <f t="shared" si="13"/>
        <v>0</v>
      </c>
      <c r="AC58" s="40">
        <f t="shared" si="14"/>
        <v>0</v>
      </c>
      <c r="AD58" s="40">
        <f t="shared" si="15"/>
        <v>0</v>
      </c>
      <c r="AE58" s="40">
        <f t="shared" si="16"/>
        <v>0</v>
      </c>
      <c r="AF58" s="102">
        <f t="shared" si="17"/>
        <v>0</v>
      </c>
    </row>
    <row r="59" spans="1:32" x14ac:dyDescent="0.25">
      <c r="A59" s="181"/>
      <c r="B59" s="178"/>
      <c r="C59" s="175"/>
      <c r="D59" s="180">
        <f t="shared" si="9"/>
        <v>0</v>
      </c>
      <c r="E59" s="4"/>
      <c r="F59" s="5"/>
      <c r="G59" s="4"/>
      <c r="H59" s="5"/>
      <c r="I59" s="124"/>
      <c r="J59" s="127"/>
      <c r="K59" s="129"/>
      <c r="L59" s="14"/>
      <c r="M59" s="25">
        <f t="shared" si="10"/>
        <v>0</v>
      </c>
      <c r="N59" s="140">
        <f t="shared" si="11"/>
        <v>0</v>
      </c>
      <c r="O59" s="143"/>
      <c r="AA59" s="101">
        <f t="shared" si="12"/>
        <v>0</v>
      </c>
      <c r="AB59" s="40">
        <f t="shared" si="13"/>
        <v>0</v>
      </c>
      <c r="AC59" s="40">
        <f t="shared" si="14"/>
        <v>0</v>
      </c>
      <c r="AD59" s="40">
        <f t="shared" si="15"/>
        <v>0</v>
      </c>
      <c r="AE59" s="40">
        <f t="shared" si="16"/>
        <v>0</v>
      </c>
      <c r="AF59" s="102">
        <f t="shared" si="17"/>
        <v>0</v>
      </c>
    </row>
    <row r="60" spans="1:32" x14ac:dyDescent="0.25">
      <c r="A60" s="181"/>
      <c r="B60" s="178"/>
      <c r="C60" s="175"/>
      <c r="D60" s="180">
        <f t="shared" si="9"/>
        <v>0</v>
      </c>
      <c r="E60" s="4"/>
      <c r="F60" s="5"/>
      <c r="G60" s="4"/>
      <c r="H60" s="5"/>
      <c r="I60" s="124"/>
      <c r="J60" s="127"/>
      <c r="K60" s="129"/>
      <c r="L60" s="14"/>
      <c r="M60" s="25">
        <f t="shared" si="10"/>
        <v>0</v>
      </c>
      <c r="N60" s="140">
        <f t="shared" si="11"/>
        <v>0</v>
      </c>
      <c r="O60" s="143"/>
      <c r="AA60" s="101">
        <f t="shared" si="12"/>
        <v>0</v>
      </c>
      <c r="AB60" s="40">
        <f t="shared" si="13"/>
        <v>0</v>
      </c>
      <c r="AC60" s="40">
        <f t="shared" si="14"/>
        <v>0</v>
      </c>
      <c r="AD60" s="40">
        <f t="shared" si="15"/>
        <v>0</v>
      </c>
      <c r="AE60" s="40">
        <f t="shared" si="16"/>
        <v>0</v>
      </c>
      <c r="AF60" s="102">
        <f t="shared" si="17"/>
        <v>0</v>
      </c>
    </row>
    <row r="61" spans="1:32" x14ac:dyDescent="0.25">
      <c r="A61" s="181"/>
      <c r="B61" s="178"/>
      <c r="C61" s="175"/>
      <c r="D61" s="180">
        <f t="shared" si="9"/>
        <v>0</v>
      </c>
      <c r="E61" s="4"/>
      <c r="F61" s="5"/>
      <c r="G61" s="4"/>
      <c r="H61" s="5"/>
      <c r="I61" s="124"/>
      <c r="J61" s="127"/>
      <c r="K61" s="129"/>
      <c r="L61" s="14"/>
      <c r="M61" s="25">
        <f t="shared" si="1"/>
        <v>0</v>
      </c>
      <c r="N61" s="140">
        <f t="shared" si="2"/>
        <v>0</v>
      </c>
      <c r="O61" s="143"/>
      <c r="AA61" s="101">
        <f t="shared" si="3"/>
        <v>0</v>
      </c>
      <c r="AB61" s="40">
        <f t="shared" si="4"/>
        <v>0</v>
      </c>
      <c r="AC61" s="40">
        <f t="shared" si="5"/>
        <v>0</v>
      </c>
      <c r="AD61" s="40">
        <f t="shared" si="6"/>
        <v>0</v>
      </c>
      <c r="AE61" s="40">
        <f t="shared" si="7"/>
        <v>0</v>
      </c>
      <c r="AF61" s="102">
        <f t="shared" si="8"/>
        <v>0</v>
      </c>
    </row>
    <row r="62" spans="1:32" x14ac:dyDescent="0.25">
      <c r="A62" s="181"/>
      <c r="B62" s="178"/>
      <c r="C62" s="175"/>
      <c r="D62" s="180">
        <f t="shared" si="9"/>
        <v>0</v>
      </c>
      <c r="E62" s="4"/>
      <c r="F62" s="5"/>
      <c r="G62" s="4"/>
      <c r="H62" s="5"/>
      <c r="I62" s="124"/>
      <c r="J62" s="127"/>
      <c r="K62" s="129"/>
      <c r="L62" s="14"/>
      <c r="M62" s="25">
        <f t="shared" si="1"/>
        <v>0</v>
      </c>
      <c r="N62" s="140">
        <f t="shared" si="2"/>
        <v>0</v>
      </c>
      <c r="O62" s="143"/>
      <c r="AA62" s="101">
        <f t="shared" si="3"/>
        <v>0</v>
      </c>
      <c r="AB62" s="40">
        <f t="shared" si="4"/>
        <v>0</v>
      </c>
      <c r="AC62" s="40">
        <f t="shared" si="5"/>
        <v>0</v>
      </c>
      <c r="AD62" s="40">
        <f t="shared" si="6"/>
        <v>0</v>
      </c>
      <c r="AE62" s="40">
        <f t="shared" si="7"/>
        <v>0</v>
      </c>
      <c r="AF62" s="102">
        <f t="shared" si="8"/>
        <v>0</v>
      </c>
    </row>
    <row r="63" spans="1:32" x14ac:dyDescent="0.25">
      <c r="A63" s="181"/>
      <c r="B63" s="178"/>
      <c r="C63" s="175"/>
      <c r="D63" s="180">
        <f t="shared" si="9"/>
        <v>0</v>
      </c>
      <c r="E63" s="4"/>
      <c r="F63" s="5"/>
      <c r="G63" s="4"/>
      <c r="H63" s="5"/>
      <c r="I63" s="124"/>
      <c r="J63" s="127"/>
      <c r="K63" s="129"/>
      <c r="L63" s="14"/>
      <c r="M63" s="25">
        <f t="shared" si="1"/>
        <v>0</v>
      </c>
      <c r="N63" s="140">
        <f t="shared" si="2"/>
        <v>0</v>
      </c>
      <c r="O63" s="143"/>
      <c r="AA63" s="101">
        <f t="shared" si="3"/>
        <v>0</v>
      </c>
      <c r="AB63" s="40">
        <f t="shared" si="4"/>
        <v>0</v>
      </c>
      <c r="AC63" s="40">
        <f t="shared" si="5"/>
        <v>0</v>
      </c>
      <c r="AD63" s="40">
        <f t="shared" si="6"/>
        <v>0</v>
      </c>
      <c r="AE63" s="40">
        <f t="shared" si="7"/>
        <v>0</v>
      </c>
      <c r="AF63" s="102">
        <f t="shared" si="8"/>
        <v>0</v>
      </c>
    </row>
    <row r="64" spans="1:32" x14ac:dyDescent="0.25">
      <c r="A64" s="181"/>
      <c r="B64" s="178"/>
      <c r="C64" s="175"/>
      <c r="D64" s="180">
        <f t="shared" si="9"/>
        <v>0</v>
      </c>
      <c r="E64" s="4"/>
      <c r="F64" s="5"/>
      <c r="G64" s="4"/>
      <c r="H64" s="5"/>
      <c r="I64" s="124"/>
      <c r="J64" s="127"/>
      <c r="K64" s="129"/>
      <c r="L64" s="14"/>
      <c r="M64" s="25">
        <f t="shared" si="1"/>
        <v>0</v>
      </c>
      <c r="N64" s="140">
        <f t="shared" si="2"/>
        <v>0</v>
      </c>
      <c r="O64" s="143"/>
      <c r="AA64" s="101">
        <f t="shared" si="3"/>
        <v>0</v>
      </c>
      <c r="AB64" s="40">
        <f t="shared" si="4"/>
        <v>0</v>
      </c>
      <c r="AC64" s="40">
        <f t="shared" si="5"/>
        <v>0</v>
      </c>
      <c r="AD64" s="40">
        <f t="shared" si="6"/>
        <v>0</v>
      </c>
      <c r="AE64" s="40">
        <f t="shared" si="7"/>
        <v>0</v>
      </c>
      <c r="AF64" s="102">
        <f t="shared" si="8"/>
        <v>0</v>
      </c>
    </row>
    <row r="65" spans="1:32" x14ac:dyDescent="0.25">
      <c r="A65" s="181"/>
      <c r="B65" s="178"/>
      <c r="C65" s="175"/>
      <c r="D65" s="180">
        <f t="shared" si="9"/>
        <v>0</v>
      </c>
      <c r="E65" s="4"/>
      <c r="F65" s="5"/>
      <c r="G65" s="4"/>
      <c r="H65" s="5"/>
      <c r="I65" s="124"/>
      <c r="J65" s="127"/>
      <c r="K65" s="129"/>
      <c r="L65" s="14"/>
      <c r="M65" s="25">
        <f t="shared" si="1"/>
        <v>0</v>
      </c>
      <c r="N65" s="140">
        <f t="shared" si="2"/>
        <v>0</v>
      </c>
      <c r="O65" s="143"/>
      <c r="AA65" s="101">
        <f t="shared" si="3"/>
        <v>0</v>
      </c>
      <c r="AB65" s="40">
        <f t="shared" si="4"/>
        <v>0</v>
      </c>
      <c r="AC65" s="40">
        <f t="shared" si="5"/>
        <v>0</v>
      </c>
      <c r="AD65" s="40">
        <f t="shared" si="6"/>
        <v>0</v>
      </c>
      <c r="AE65" s="40">
        <f t="shared" si="7"/>
        <v>0</v>
      </c>
      <c r="AF65" s="102">
        <f t="shared" si="8"/>
        <v>0</v>
      </c>
    </row>
    <row r="66" spans="1:32" x14ac:dyDescent="0.25">
      <c r="A66" s="181"/>
      <c r="B66" s="178"/>
      <c r="C66" s="175"/>
      <c r="D66" s="180">
        <f t="shared" si="9"/>
        <v>0</v>
      </c>
      <c r="E66" s="4"/>
      <c r="F66" s="5"/>
      <c r="G66" s="4"/>
      <c r="H66" s="5"/>
      <c r="I66" s="124"/>
      <c r="J66" s="127"/>
      <c r="K66" s="129"/>
      <c r="L66" s="14"/>
      <c r="M66" s="25">
        <f t="shared" si="1"/>
        <v>0</v>
      </c>
      <c r="N66" s="140">
        <f t="shared" si="2"/>
        <v>0</v>
      </c>
      <c r="O66" s="143"/>
      <c r="AA66" s="101">
        <f t="shared" si="3"/>
        <v>0</v>
      </c>
      <c r="AB66" s="40">
        <f t="shared" si="4"/>
        <v>0</v>
      </c>
      <c r="AC66" s="40">
        <f t="shared" si="5"/>
        <v>0</v>
      </c>
      <c r="AD66" s="40">
        <f t="shared" si="6"/>
        <v>0</v>
      </c>
      <c r="AE66" s="40">
        <f t="shared" si="7"/>
        <v>0</v>
      </c>
      <c r="AF66" s="102">
        <f t="shared" si="8"/>
        <v>0</v>
      </c>
    </row>
    <row r="67" spans="1:32" x14ac:dyDescent="0.25">
      <c r="A67" s="181"/>
      <c r="B67" s="178"/>
      <c r="C67" s="175"/>
      <c r="D67" s="180">
        <f t="shared" si="9"/>
        <v>0</v>
      </c>
      <c r="E67" s="4"/>
      <c r="F67" s="5"/>
      <c r="G67" s="4"/>
      <c r="H67" s="5"/>
      <c r="I67" s="124"/>
      <c r="J67" s="127"/>
      <c r="K67" s="129"/>
      <c r="L67" s="14"/>
      <c r="M67" s="25">
        <f t="shared" si="1"/>
        <v>0</v>
      </c>
      <c r="N67" s="140">
        <f t="shared" si="2"/>
        <v>0</v>
      </c>
      <c r="O67" s="143"/>
      <c r="AA67" s="101">
        <f t="shared" si="3"/>
        <v>0</v>
      </c>
      <c r="AB67" s="40">
        <f t="shared" si="4"/>
        <v>0</v>
      </c>
      <c r="AC67" s="40">
        <f t="shared" si="5"/>
        <v>0</v>
      </c>
      <c r="AD67" s="40">
        <f t="shared" si="6"/>
        <v>0</v>
      </c>
      <c r="AE67" s="40">
        <f t="shared" si="7"/>
        <v>0</v>
      </c>
      <c r="AF67" s="102">
        <f t="shared" si="8"/>
        <v>0</v>
      </c>
    </row>
    <row r="68" spans="1:32" x14ac:dyDescent="0.25">
      <c r="A68" s="181"/>
      <c r="B68" s="178"/>
      <c r="C68" s="175"/>
      <c r="D68" s="180">
        <f t="shared" si="9"/>
        <v>0</v>
      </c>
      <c r="E68" s="4"/>
      <c r="F68" s="5"/>
      <c r="G68" s="4"/>
      <c r="H68" s="5"/>
      <c r="I68" s="124"/>
      <c r="J68" s="127"/>
      <c r="K68" s="129"/>
      <c r="L68" s="14"/>
      <c r="M68" s="25">
        <f t="shared" si="1"/>
        <v>0</v>
      </c>
      <c r="N68" s="140">
        <f t="shared" si="2"/>
        <v>0</v>
      </c>
      <c r="O68" s="143"/>
      <c r="AA68" s="101">
        <f t="shared" si="3"/>
        <v>0</v>
      </c>
      <c r="AB68" s="40">
        <f t="shared" si="4"/>
        <v>0</v>
      </c>
      <c r="AC68" s="40">
        <f t="shared" si="5"/>
        <v>0</v>
      </c>
      <c r="AD68" s="40">
        <f t="shared" si="6"/>
        <v>0</v>
      </c>
      <c r="AE68" s="40">
        <f t="shared" si="7"/>
        <v>0</v>
      </c>
      <c r="AF68" s="102">
        <f t="shared" si="8"/>
        <v>0</v>
      </c>
    </row>
    <row r="69" spans="1:32" x14ac:dyDescent="0.25">
      <c r="A69" s="181"/>
      <c r="B69" s="178"/>
      <c r="C69" s="175"/>
      <c r="D69" s="180">
        <f t="shared" si="9"/>
        <v>0</v>
      </c>
      <c r="E69" s="4"/>
      <c r="F69" s="5"/>
      <c r="G69" s="4"/>
      <c r="H69" s="5"/>
      <c r="I69" s="124"/>
      <c r="J69" s="127"/>
      <c r="K69" s="129"/>
      <c r="L69" s="14"/>
      <c r="M69" s="25">
        <f t="shared" si="1"/>
        <v>0</v>
      </c>
      <c r="N69" s="140">
        <f t="shared" si="2"/>
        <v>0</v>
      </c>
      <c r="O69" s="143"/>
      <c r="AA69" s="101">
        <f t="shared" si="3"/>
        <v>0</v>
      </c>
      <c r="AB69" s="40">
        <f t="shared" si="4"/>
        <v>0</v>
      </c>
      <c r="AC69" s="40">
        <f t="shared" si="5"/>
        <v>0</v>
      </c>
      <c r="AD69" s="40">
        <f t="shared" si="6"/>
        <v>0</v>
      </c>
      <c r="AE69" s="40">
        <f t="shared" si="7"/>
        <v>0</v>
      </c>
      <c r="AF69" s="102">
        <f t="shared" si="8"/>
        <v>0</v>
      </c>
    </row>
    <row r="70" spans="1:32" ht="15.75" thickBot="1" x14ac:dyDescent="0.3">
      <c r="A70" s="182"/>
      <c r="B70" s="183"/>
      <c r="C70" s="184"/>
      <c r="D70" s="185">
        <f t="shared" si="9"/>
        <v>0</v>
      </c>
      <c r="E70" s="6"/>
      <c r="F70" s="7"/>
      <c r="G70" s="6"/>
      <c r="H70" s="7"/>
      <c r="I70" s="125"/>
      <c r="J70" s="128"/>
      <c r="K70" s="130"/>
      <c r="L70" s="15"/>
      <c r="M70" s="26">
        <f t="shared" si="1"/>
        <v>0</v>
      </c>
      <c r="N70" s="141">
        <f t="shared" si="2"/>
        <v>0</v>
      </c>
      <c r="O70" s="144"/>
      <c r="AA70" s="103">
        <f t="shared" si="3"/>
        <v>0</v>
      </c>
      <c r="AB70" s="104">
        <f t="shared" si="4"/>
        <v>0</v>
      </c>
      <c r="AC70" s="104">
        <f t="shared" si="5"/>
        <v>0</v>
      </c>
      <c r="AD70" s="104">
        <f t="shared" si="6"/>
        <v>0</v>
      </c>
      <c r="AE70" s="104">
        <f t="shared" si="7"/>
        <v>0</v>
      </c>
      <c r="AF70" s="105">
        <f t="shared" si="8"/>
        <v>0</v>
      </c>
    </row>
    <row r="71" spans="1:32" ht="15.75" thickBot="1" x14ac:dyDescent="0.3">
      <c r="A71" s="21"/>
      <c r="B71" s="21"/>
      <c r="C71" s="21"/>
      <c r="D71" s="21"/>
      <c r="E71" s="21">
        <f t="shared" ref="E71:J71" si="26">SUM(E7:E70)</f>
        <v>0</v>
      </c>
      <c r="F71" s="21">
        <f t="shared" si="26"/>
        <v>0</v>
      </c>
      <c r="G71" s="21">
        <f t="shared" si="26"/>
        <v>0</v>
      </c>
      <c r="H71" s="21">
        <f t="shared" si="26"/>
        <v>0</v>
      </c>
      <c r="I71" s="21">
        <f t="shared" si="26"/>
        <v>0</v>
      </c>
      <c r="J71" s="21">
        <f t="shared" si="26"/>
        <v>0</v>
      </c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</row>
    <row r="72" spans="1:32" ht="15.75" thickBot="1" x14ac:dyDescent="0.3">
      <c r="A72" t="s">
        <v>16</v>
      </c>
      <c r="E72" s="245" t="s">
        <v>10</v>
      </c>
      <c r="F72" s="246"/>
      <c r="G72" s="246"/>
      <c r="H72" s="246"/>
      <c r="I72" s="246"/>
      <c r="J72" s="246"/>
      <c r="K72" s="246"/>
      <c r="L72" s="247"/>
      <c r="M72" s="16">
        <f>SUM(M7:M70)</f>
        <v>0</v>
      </c>
      <c r="N72" s="16">
        <f>SUM(N7:N70)</f>
        <v>0</v>
      </c>
    </row>
    <row r="73" spans="1:32" ht="15.75" thickBot="1" x14ac:dyDescent="0.3">
      <c r="E73" s="245" t="s">
        <v>11</v>
      </c>
      <c r="F73" s="246"/>
      <c r="G73" s="246"/>
      <c r="H73" s="246"/>
      <c r="I73" s="246"/>
      <c r="J73" s="246"/>
      <c r="K73" s="246"/>
      <c r="L73" s="247"/>
      <c r="M73" s="17">
        <f>M72*1.15</f>
        <v>0</v>
      </c>
      <c r="N73" s="17">
        <f>N72*1.15</f>
        <v>0</v>
      </c>
    </row>
  </sheetData>
  <sortState ref="A7:L70">
    <sortCondition ref="A6"/>
  </sortState>
  <mergeCells count="12">
    <mergeCell ref="A4:O4"/>
    <mergeCell ref="N5:N6"/>
    <mergeCell ref="Q5:V5"/>
    <mergeCell ref="E72:L72"/>
    <mergeCell ref="E73:L73"/>
    <mergeCell ref="B5:D5"/>
    <mergeCell ref="E5:F5"/>
    <mergeCell ref="I5:J5"/>
    <mergeCell ref="L5:M5"/>
    <mergeCell ref="G5:H5"/>
    <mergeCell ref="K5:K6"/>
    <mergeCell ref="O5:O6"/>
  </mergeCells>
  <dataValidations count="1">
    <dataValidation type="list" allowBlank="1" showInputMessage="1" showErrorMessage="1" sqref="B7:B70">
      <formula1>$Z$2:$Z$1034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HI">
                <anchor moveWithCells="1" sizeWithCells="1">
                  <from>
                    <xdr:col>16</xdr:col>
                    <xdr:colOff>28575</xdr:colOff>
                    <xdr:row>0</xdr:row>
                    <xdr:rowOff>28575</xdr:rowOff>
                  </from>
                  <to>
                    <xdr:col>17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-0.249977111117893"/>
  </sheetPr>
  <dimension ref="A1:AK448"/>
  <sheetViews>
    <sheetView zoomScale="85" zoomScaleNormal="85" workbookViewId="0">
      <pane ySplit="3" topLeftCell="A4" activePane="bottomLeft" state="frozen"/>
      <selection activeCell="F14" sqref="F14"/>
      <selection pane="bottomLeft" activeCell="L29" sqref="L29"/>
    </sheetView>
  </sheetViews>
  <sheetFormatPr defaultRowHeight="15" x14ac:dyDescent="0.25"/>
  <cols>
    <col min="1" max="1" width="9.85546875" customWidth="1"/>
    <col min="2" max="2" width="6.42578125" customWidth="1"/>
    <col min="3" max="3" width="10.140625" customWidth="1"/>
    <col min="4" max="4" width="5.28515625" customWidth="1"/>
    <col min="5" max="5" width="7.7109375" customWidth="1"/>
    <col min="6" max="6" width="12.140625" bestFit="1" customWidth="1"/>
    <col min="7" max="7" width="10.5703125" bestFit="1" customWidth="1"/>
    <col min="8" max="8" width="1.140625" customWidth="1"/>
    <col min="9" max="9" width="9.85546875" bestFit="1" customWidth="1"/>
    <col min="10" max="10" width="6.28515625" customWidth="1"/>
    <col min="11" max="11" width="12.85546875" customWidth="1"/>
    <col min="12" max="12" width="11.5703125" bestFit="1" customWidth="1"/>
    <col min="13" max="13" width="10.5703125" bestFit="1" customWidth="1"/>
    <col min="14" max="14" width="1.140625" customWidth="1"/>
    <col min="15" max="15" width="10.28515625" customWidth="1"/>
    <col min="16" max="16" width="6.85546875" customWidth="1"/>
    <col min="17" max="17" width="10.140625" customWidth="1"/>
    <col min="18" max="18" width="5.42578125" customWidth="1"/>
    <col min="19" max="19" width="7.85546875" customWidth="1"/>
    <col min="20" max="20" width="13.28515625" bestFit="1" customWidth="1"/>
    <col min="21" max="21" width="11.5703125" bestFit="1" customWidth="1"/>
    <col min="22" max="22" width="1.28515625" customWidth="1"/>
    <col min="23" max="23" width="9.140625" style="22"/>
    <col min="24" max="24" width="9.7109375" style="22" customWidth="1"/>
    <col min="25" max="25" width="2.85546875" style="22" customWidth="1"/>
    <col min="26" max="27" width="13.28515625" style="22" bestFit="1" customWidth="1"/>
    <col min="32" max="32" width="19.28515625" style="106" customWidth="1"/>
    <col min="33" max="33" width="9.140625" style="106"/>
    <col min="34" max="37" width="9.140625" style="22"/>
  </cols>
  <sheetData>
    <row r="1" spans="1:37" ht="15.75" thickBot="1" x14ac:dyDescent="0.3">
      <c r="W1" s="158"/>
      <c r="X1" s="158"/>
    </row>
    <row r="2" spans="1:37" ht="15.75" thickBot="1" x14ac:dyDescent="0.3">
      <c r="A2" s="10" t="s">
        <v>93</v>
      </c>
      <c r="B2" s="10"/>
      <c r="E2" s="70" t="s">
        <v>99</v>
      </c>
      <c r="F2" s="68">
        <f>SUBTOTAL(9, F4:F56)</f>
        <v>0</v>
      </c>
      <c r="G2" s="69">
        <f>SUBTOTAL(9, G4:G56)</f>
        <v>0</v>
      </c>
      <c r="I2" s="10" t="s">
        <v>94</v>
      </c>
      <c r="J2" s="10"/>
      <c r="K2" s="70" t="s">
        <v>99</v>
      </c>
      <c r="L2" s="66">
        <f>SUBTOTAL(9, L4:L56)</f>
        <v>0</v>
      </c>
      <c r="M2" s="67">
        <f>SUBTOTAL(9, M4:M56)</f>
        <v>0</v>
      </c>
      <c r="O2" s="10" t="s">
        <v>95</v>
      </c>
      <c r="P2" s="10"/>
      <c r="S2" s="70" t="s">
        <v>99</v>
      </c>
      <c r="T2" s="66">
        <f>SUBTOTAL(9, T4:T56)</f>
        <v>0</v>
      </c>
      <c r="U2" s="67">
        <f>SUBTOTAL(9, U4:U56)</f>
        <v>0</v>
      </c>
      <c r="W2" s="158"/>
      <c r="X2" s="158"/>
      <c r="Z2" s="93" t="s">
        <v>144</v>
      </c>
      <c r="AA2" s="114">
        <f>'BK Info'!B11</f>
        <v>0</v>
      </c>
      <c r="AI2" s="22">
        <f>SUM(AI4:AI7)</f>
        <v>0</v>
      </c>
      <c r="AJ2" s="22">
        <f>SUM(AJ4:AJ7)</f>
        <v>0</v>
      </c>
      <c r="AK2" s="22">
        <f>SUM(AK4:AK7)</f>
        <v>0</v>
      </c>
    </row>
    <row r="3" spans="1:37" ht="15.75" thickBot="1" x14ac:dyDescent="0.3">
      <c r="A3" s="33" t="s">
        <v>6</v>
      </c>
      <c r="B3" s="34" t="s">
        <v>104</v>
      </c>
      <c r="C3" s="34" t="s">
        <v>96</v>
      </c>
      <c r="D3" s="34" t="s">
        <v>14</v>
      </c>
      <c r="E3" s="34" t="s">
        <v>13</v>
      </c>
      <c r="F3" s="34" t="s">
        <v>5</v>
      </c>
      <c r="G3" s="35" t="s">
        <v>97</v>
      </c>
      <c r="I3" s="33" t="s">
        <v>6</v>
      </c>
      <c r="J3" s="34" t="s">
        <v>104</v>
      </c>
      <c r="K3" s="34" t="s">
        <v>96</v>
      </c>
      <c r="L3" s="34" t="s">
        <v>5</v>
      </c>
      <c r="M3" s="35" t="s">
        <v>97</v>
      </c>
      <c r="O3" s="33" t="s">
        <v>6</v>
      </c>
      <c r="P3" s="34" t="s">
        <v>104</v>
      </c>
      <c r="Q3" s="34" t="s">
        <v>96</v>
      </c>
      <c r="R3" s="34" t="s">
        <v>14</v>
      </c>
      <c r="S3" s="34" t="s">
        <v>13</v>
      </c>
      <c r="T3" s="34" t="s">
        <v>5</v>
      </c>
      <c r="U3" s="35" t="s">
        <v>97</v>
      </c>
      <c r="W3" s="158"/>
      <c r="X3" s="158"/>
      <c r="Z3" s="94" t="s">
        <v>145</v>
      </c>
      <c r="AA3" s="115">
        <f>'BK Info'!B10</f>
        <v>0</v>
      </c>
      <c r="AF3" s="112" t="s">
        <v>120</v>
      </c>
      <c r="AG3" s="113" t="s">
        <v>13</v>
      </c>
      <c r="AH3" s="22" t="s">
        <v>104</v>
      </c>
      <c r="AI3" s="22" t="s">
        <v>137</v>
      </c>
      <c r="AJ3" s="22" t="s">
        <v>138</v>
      </c>
      <c r="AK3" s="22" t="s">
        <v>139</v>
      </c>
    </row>
    <row r="4" spans="1:37" ht="18.75" x14ac:dyDescent="0.3">
      <c r="A4" s="92"/>
      <c r="B4" s="28"/>
      <c r="C4" s="28"/>
      <c r="D4" s="28"/>
      <c r="E4" s="29"/>
      <c r="F4" s="41">
        <f>IF(D4="", E4, D4*E4)</f>
        <v>0</v>
      </c>
      <c r="G4" s="42">
        <f>F4*1.1</f>
        <v>0</v>
      </c>
      <c r="I4" s="92"/>
      <c r="J4" s="28"/>
      <c r="K4" s="28"/>
      <c r="L4" s="29"/>
      <c r="M4" s="45">
        <f>L4*1.1</f>
        <v>0</v>
      </c>
      <c r="O4" s="92"/>
      <c r="P4" s="28"/>
      <c r="Q4" s="28"/>
      <c r="R4" s="29"/>
      <c r="S4" s="29">
        <f>IFERROR(VLOOKUP(Q4,AF:AG, 2, 0), 0)</f>
        <v>0</v>
      </c>
      <c r="T4" s="40">
        <f>R4*S4</f>
        <v>0</v>
      </c>
      <c r="U4" s="45">
        <f>T4*1.1</f>
        <v>0</v>
      </c>
      <c r="W4" s="267" t="s">
        <v>103</v>
      </c>
      <c r="X4" s="268"/>
      <c r="Y4" s="268"/>
      <c r="Z4" s="269"/>
      <c r="AA4" s="270"/>
      <c r="AF4" s="108" t="s">
        <v>121</v>
      </c>
      <c r="AG4" s="109">
        <v>718</v>
      </c>
      <c r="AH4" s="22" t="s">
        <v>125</v>
      </c>
      <c r="AI4" s="22">
        <f>COUNTIF(B4:B56, AH4)</f>
        <v>0</v>
      </c>
      <c r="AJ4" s="22">
        <f>COUNTIF(J4:J56, AH4)</f>
        <v>0</v>
      </c>
      <c r="AK4" s="22">
        <f>COUNTIF(P4:P56, AH4)</f>
        <v>0</v>
      </c>
    </row>
    <row r="5" spans="1:37" ht="15.75" thickBot="1" x14ac:dyDescent="0.3">
      <c r="A5" s="92"/>
      <c r="B5" s="28"/>
      <c r="C5" s="28"/>
      <c r="D5" s="28"/>
      <c r="E5" s="29"/>
      <c r="F5" s="41">
        <f t="shared" ref="F5:F56" si="0">IF(D5="", E5, D5*E5)</f>
        <v>0</v>
      </c>
      <c r="G5" s="42">
        <f t="shared" ref="G5:G56" si="1">F5*1.1</f>
        <v>0</v>
      </c>
      <c r="I5" s="92"/>
      <c r="J5" s="28"/>
      <c r="K5" s="28"/>
      <c r="L5" s="29"/>
      <c r="M5" s="45">
        <f t="shared" ref="M5:M56" si="2">L5*1.1</f>
        <v>0</v>
      </c>
      <c r="O5" s="92"/>
      <c r="P5" s="28"/>
      <c r="Q5" s="28"/>
      <c r="R5" s="29"/>
      <c r="S5" s="29">
        <f t="shared" ref="S5:S12" si="3">IFERROR(VLOOKUP(Q5,AF:AG, 2, 0), 0)</f>
        <v>0</v>
      </c>
      <c r="T5" s="40">
        <f t="shared" ref="T5:T56" si="4">R5*S5</f>
        <v>0</v>
      </c>
      <c r="U5" s="45">
        <f t="shared" ref="U5:U56" si="5">T5*1.1</f>
        <v>0</v>
      </c>
      <c r="W5" s="78"/>
      <c r="X5" s="79"/>
      <c r="Y5" s="79"/>
      <c r="Z5" s="80" t="s">
        <v>5</v>
      </c>
      <c r="AA5" s="81" t="s">
        <v>97</v>
      </c>
      <c r="AF5" s="108" t="s">
        <v>122</v>
      </c>
      <c r="AG5" s="109">
        <v>618</v>
      </c>
      <c r="AH5" s="22" t="s">
        <v>126</v>
      </c>
      <c r="AI5" s="22">
        <f>COUNTIF(B4:B56, AH5)</f>
        <v>0</v>
      </c>
      <c r="AJ5" s="22">
        <f>COUNTIF(J4:J56, AH5)</f>
        <v>0</v>
      </c>
      <c r="AK5" s="22">
        <f>COUNTIF(P4:P56, AH5)</f>
        <v>0</v>
      </c>
    </row>
    <row r="6" spans="1:37" x14ac:dyDescent="0.25">
      <c r="A6" s="92"/>
      <c r="B6" s="91"/>
      <c r="C6" s="91"/>
      <c r="D6" s="28"/>
      <c r="E6" s="29"/>
      <c r="F6" s="41">
        <f t="shared" si="0"/>
        <v>0</v>
      </c>
      <c r="G6" s="42">
        <f t="shared" si="1"/>
        <v>0</v>
      </c>
      <c r="I6" s="92"/>
      <c r="J6" s="91"/>
      <c r="K6" s="91"/>
      <c r="L6" s="29"/>
      <c r="M6" s="45">
        <f t="shared" si="2"/>
        <v>0</v>
      </c>
      <c r="O6" s="92"/>
      <c r="P6" s="91"/>
      <c r="Q6" s="28"/>
      <c r="R6" s="29"/>
      <c r="S6" s="29">
        <f t="shared" si="3"/>
        <v>0</v>
      </c>
      <c r="T6" s="40">
        <f t="shared" si="4"/>
        <v>0</v>
      </c>
      <c r="U6" s="45">
        <f t="shared" si="5"/>
        <v>0</v>
      </c>
      <c r="W6" s="82" t="s">
        <v>85</v>
      </c>
      <c r="X6" s="83"/>
      <c r="Y6" s="83"/>
      <c r="Z6" s="84">
        <f>'VM Room'!U19+'PA Room'!U19+'CM Room'!U19+'HI Room'!U19</f>
        <v>0</v>
      </c>
      <c r="AA6" s="85"/>
      <c r="AF6" s="108" t="s">
        <v>123</v>
      </c>
      <c r="AG6" s="109">
        <v>448</v>
      </c>
      <c r="AH6" s="22" t="s">
        <v>127</v>
      </c>
      <c r="AI6" s="22">
        <f>COUNTIF(B4:B56, AH6)</f>
        <v>0</v>
      </c>
      <c r="AJ6" s="22">
        <f>COUNTIF(J4:J56, AH6)</f>
        <v>0</v>
      </c>
      <c r="AK6" s="22">
        <f>COUNTIF(P4:P56, AH6)</f>
        <v>0</v>
      </c>
    </row>
    <row r="7" spans="1:37" x14ac:dyDescent="0.25">
      <c r="A7" s="92"/>
      <c r="B7" s="91"/>
      <c r="C7" s="28"/>
      <c r="D7" s="91"/>
      <c r="E7" s="29"/>
      <c r="F7" s="41">
        <f t="shared" si="0"/>
        <v>0</v>
      </c>
      <c r="G7" s="42">
        <f t="shared" si="1"/>
        <v>0</v>
      </c>
      <c r="I7" s="92"/>
      <c r="J7" s="91"/>
      <c r="K7" s="91"/>
      <c r="L7" s="29"/>
      <c r="M7" s="45">
        <f t="shared" si="2"/>
        <v>0</v>
      </c>
      <c r="O7" s="92"/>
      <c r="P7" s="91"/>
      <c r="Q7" s="28"/>
      <c r="R7" s="29"/>
      <c r="S7" s="29">
        <f t="shared" si="3"/>
        <v>0</v>
      </c>
      <c r="T7" s="40">
        <f t="shared" si="4"/>
        <v>0</v>
      </c>
      <c r="U7" s="45">
        <f t="shared" si="5"/>
        <v>0</v>
      </c>
      <c r="W7" s="82" t="s">
        <v>98</v>
      </c>
      <c r="X7" s="83"/>
      <c r="Y7" s="83"/>
      <c r="Z7" s="86">
        <f>'VM Room'!U20+'PA Room'!U20+'CM Room'!U20+'HI Room'!U20</f>
        <v>0</v>
      </c>
      <c r="AA7" s="87">
        <f>'VM Room'!U21+'PA Room'!U21+'CM Room'!U21+'HI Room'!U21</f>
        <v>0</v>
      </c>
      <c r="AF7" s="108" t="s">
        <v>124</v>
      </c>
      <c r="AG7" s="109"/>
      <c r="AH7" s="22" t="s">
        <v>128</v>
      </c>
      <c r="AI7" s="22">
        <f>COUNTIF(B4:B56, AH7)</f>
        <v>0</v>
      </c>
      <c r="AJ7" s="22">
        <f>COUNTIF(J4:J56, AH7)</f>
        <v>0</v>
      </c>
      <c r="AK7" s="22">
        <f>COUNTIF(P4:P56, AH7)</f>
        <v>0</v>
      </c>
    </row>
    <row r="8" spans="1:37" x14ac:dyDescent="0.25">
      <c r="A8" s="92"/>
      <c r="B8" s="91"/>
      <c r="C8" s="28"/>
      <c r="D8" s="91"/>
      <c r="E8" s="107"/>
      <c r="F8" s="41">
        <f t="shared" si="0"/>
        <v>0</v>
      </c>
      <c r="G8" s="42">
        <f t="shared" si="1"/>
        <v>0</v>
      </c>
      <c r="I8" s="92"/>
      <c r="J8" s="91"/>
      <c r="K8" s="91"/>
      <c r="L8" s="29"/>
      <c r="M8" s="45">
        <f t="shared" si="2"/>
        <v>0</v>
      </c>
      <c r="O8" s="92"/>
      <c r="P8" s="91"/>
      <c r="Q8" s="28"/>
      <c r="R8" s="29"/>
      <c r="S8" s="29">
        <f t="shared" si="3"/>
        <v>0</v>
      </c>
      <c r="T8" s="40">
        <f t="shared" si="4"/>
        <v>0</v>
      </c>
      <c r="U8" s="45">
        <f t="shared" si="5"/>
        <v>0</v>
      </c>
      <c r="W8" s="82"/>
      <c r="X8" s="83"/>
      <c r="Y8" s="83"/>
      <c r="Z8" s="88"/>
      <c r="AA8" s="85"/>
      <c r="AF8" s="108"/>
      <c r="AG8" s="109"/>
    </row>
    <row r="9" spans="1:37" x14ac:dyDescent="0.25">
      <c r="A9" s="92"/>
      <c r="B9" s="91"/>
      <c r="C9" s="91"/>
      <c r="D9" s="91"/>
      <c r="E9" s="107"/>
      <c r="F9" s="41">
        <f t="shared" si="0"/>
        <v>0</v>
      </c>
      <c r="G9" s="42">
        <f t="shared" si="1"/>
        <v>0</v>
      </c>
      <c r="I9" s="92"/>
      <c r="J9" s="91"/>
      <c r="K9" s="91"/>
      <c r="L9" s="29"/>
      <c r="M9" s="45">
        <f t="shared" si="2"/>
        <v>0</v>
      </c>
      <c r="O9" s="92"/>
      <c r="P9" s="91"/>
      <c r="Q9" s="28"/>
      <c r="R9" s="29"/>
      <c r="S9" s="29">
        <f t="shared" si="3"/>
        <v>0</v>
      </c>
      <c r="T9" s="40">
        <f t="shared" si="4"/>
        <v>0</v>
      </c>
      <c r="U9" s="45">
        <f t="shared" si="5"/>
        <v>0</v>
      </c>
      <c r="W9" s="82" t="s">
        <v>100</v>
      </c>
      <c r="X9" s="83"/>
      <c r="Y9" s="83"/>
      <c r="Z9" s="86">
        <f>F2</f>
        <v>0</v>
      </c>
      <c r="AA9" s="87">
        <f>G2</f>
        <v>0</v>
      </c>
      <c r="AF9" s="108"/>
      <c r="AG9" s="109"/>
    </row>
    <row r="10" spans="1:37" x14ac:dyDescent="0.25">
      <c r="A10" s="92"/>
      <c r="B10" s="91"/>
      <c r="C10" s="28"/>
      <c r="D10" s="91"/>
      <c r="E10" s="107"/>
      <c r="F10" s="41">
        <f t="shared" si="0"/>
        <v>0</v>
      </c>
      <c r="G10" s="42">
        <f t="shared" si="1"/>
        <v>0</v>
      </c>
      <c r="I10" s="92"/>
      <c r="J10" s="91"/>
      <c r="K10" s="91"/>
      <c r="L10" s="29"/>
      <c r="M10" s="45">
        <f t="shared" si="2"/>
        <v>0</v>
      </c>
      <c r="O10" s="92"/>
      <c r="P10" s="91"/>
      <c r="Q10" s="28"/>
      <c r="R10" s="29"/>
      <c r="S10" s="29">
        <f t="shared" si="3"/>
        <v>0</v>
      </c>
      <c r="T10" s="40">
        <f t="shared" si="4"/>
        <v>0</v>
      </c>
      <c r="U10" s="45">
        <f t="shared" si="5"/>
        <v>0</v>
      </c>
      <c r="W10" s="82" t="s">
        <v>101</v>
      </c>
      <c r="X10" s="83"/>
      <c r="Y10" s="83"/>
      <c r="Z10" s="86">
        <f>L2</f>
        <v>0</v>
      </c>
      <c r="AA10" s="87">
        <f>M2</f>
        <v>0</v>
      </c>
      <c r="AF10" s="108"/>
      <c r="AG10" s="109"/>
    </row>
    <row r="11" spans="1:37" x14ac:dyDescent="0.25">
      <c r="A11" s="92"/>
      <c r="B11" s="91"/>
      <c r="C11" s="28"/>
      <c r="D11" s="151"/>
      <c r="E11" s="107"/>
      <c r="F11" s="41">
        <f t="shared" si="0"/>
        <v>0</v>
      </c>
      <c r="G11" s="42">
        <f t="shared" si="1"/>
        <v>0</v>
      </c>
      <c r="I11" s="92"/>
      <c r="J11" s="91"/>
      <c r="K11" s="91"/>
      <c r="L11" s="29"/>
      <c r="M11" s="45">
        <f t="shared" si="2"/>
        <v>0</v>
      </c>
      <c r="O11" s="92"/>
      <c r="P11" s="91"/>
      <c r="Q11" s="28"/>
      <c r="R11" s="29"/>
      <c r="S11" s="29">
        <f t="shared" si="3"/>
        <v>0</v>
      </c>
      <c r="T11" s="40">
        <f t="shared" si="4"/>
        <v>0</v>
      </c>
      <c r="U11" s="45">
        <f t="shared" si="5"/>
        <v>0</v>
      </c>
      <c r="W11" s="82" t="s">
        <v>102</v>
      </c>
      <c r="X11" s="83"/>
      <c r="Y11" s="83"/>
      <c r="Z11" s="86">
        <f>T2</f>
        <v>0</v>
      </c>
      <c r="AA11" s="87">
        <f>U2</f>
        <v>0</v>
      </c>
      <c r="AF11" s="108"/>
      <c r="AG11" s="109"/>
    </row>
    <row r="12" spans="1:37" ht="15.75" thickBot="1" x14ac:dyDescent="0.3">
      <c r="A12" s="92"/>
      <c r="B12" s="28"/>
      <c r="C12" s="28"/>
      <c r="D12" s="28"/>
      <c r="E12" s="28"/>
      <c r="F12" s="41">
        <f t="shared" si="0"/>
        <v>0</v>
      </c>
      <c r="G12" s="42">
        <f t="shared" si="1"/>
        <v>0</v>
      </c>
      <c r="I12" s="92"/>
      <c r="J12" s="28"/>
      <c r="K12" s="28"/>
      <c r="L12" s="29"/>
      <c r="M12" s="45">
        <f t="shared" si="2"/>
        <v>0</v>
      </c>
      <c r="O12" s="92"/>
      <c r="P12" s="91"/>
      <c r="Q12" s="28"/>
      <c r="R12" s="29"/>
      <c r="S12" s="29">
        <f t="shared" si="3"/>
        <v>0</v>
      </c>
      <c r="T12" s="40">
        <f t="shared" si="4"/>
        <v>0</v>
      </c>
      <c r="U12" s="45">
        <f t="shared" si="5"/>
        <v>0</v>
      </c>
      <c r="W12" s="82"/>
      <c r="X12" s="83"/>
      <c r="Y12" s="83"/>
      <c r="Z12" s="88"/>
      <c r="AA12" s="85"/>
      <c r="AF12" s="110"/>
      <c r="AG12" s="111"/>
    </row>
    <row r="13" spans="1:37" ht="15.75" thickBot="1" x14ac:dyDescent="0.3">
      <c r="A13" s="92"/>
      <c r="B13" s="28"/>
      <c r="C13" s="28"/>
      <c r="D13" s="28"/>
      <c r="E13" s="28"/>
      <c r="F13" s="41">
        <f t="shared" si="0"/>
        <v>0</v>
      </c>
      <c r="G13" s="42">
        <f t="shared" si="1"/>
        <v>0</v>
      </c>
      <c r="I13" s="92"/>
      <c r="J13" s="28"/>
      <c r="K13" s="28"/>
      <c r="L13" s="29"/>
      <c r="M13" s="45">
        <f t="shared" si="2"/>
        <v>0</v>
      </c>
      <c r="O13" s="92"/>
      <c r="P13" s="28"/>
      <c r="Q13" s="28"/>
      <c r="R13" s="29"/>
      <c r="S13" s="29">
        <f t="shared" ref="S13:S56" si="6">IFERROR(VLOOKUP(Q13,AF:AG, 2, 0), 0)</f>
        <v>0</v>
      </c>
      <c r="T13" s="40">
        <f t="shared" si="4"/>
        <v>0</v>
      </c>
      <c r="U13" s="45">
        <f t="shared" si="5"/>
        <v>0</v>
      </c>
      <c r="W13" s="89" t="s">
        <v>103</v>
      </c>
      <c r="X13" s="116"/>
      <c r="Y13" s="116" t="s">
        <v>16</v>
      </c>
      <c r="Z13" s="117">
        <f>Z7+Z9+Z10+Z11</f>
        <v>0</v>
      </c>
      <c r="AA13" s="118">
        <f>AA7+AA9+AA10+AA11</f>
        <v>0</v>
      </c>
    </row>
    <row r="14" spans="1:37" x14ac:dyDescent="0.25">
      <c r="A14" s="92"/>
      <c r="B14" s="28"/>
      <c r="C14" s="28"/>
      <c r="D14" s="28"/>
      <c r="E14" s="28"/>
      <c r="F14" s="41">
        <f t="shared" si="0"/>
        <v>0</v>
      </c>
      <c r="G14" s="42">
        <f t="shared" si="1"/>
        <v>0</v>
      </c>
      <c r="I14" s="92"/>
      <c r="J14" s="28"/>
      <c r="K14" s="28"/>
      <c r="L14" s="29"/>
      <c r="M14" s="45">
        <f t="shared" si="2"/>
        <v>0</v>
      </c>
      <c r="O14" s="92"/>
      <c r="P14" s="28"/>
      <c r="Q14" s="28"/>
      <c r="R14" s="29"/>
      <c r="S14" s="29">
        <f t="shared" si="6"/>
        <v>0</v>
      </c>
      <c r="T14" s="40">
        <f t="shared" si="4"/>
        <v>0</v>
      </c>
      <c r="U14" s="45">
        <f t="shared" si="5"/>
        <v>0</v>
      </c>
    </row>
    <row r="15" spans="1:37" ht="15.75" thickBot="1" x14ac:dyDescent="0.3">
      <c r="A15" s="92"/>
      <c r="B15" s="28"/>
      <c r="C15" s="28"/>
      <c r="D15" s="28"/>
      <c r="E15" s="28"/>
      <c r="F15" s="41">
        <f t="shared" si="0"/>
        <v>0</v>
      </c>
      <c r="G15" s="42">
        <f t="shared" si="1"/>
        <v>0</v>
      </c>
      <c r="I15" s="92"/>
      <c r="J15" s="28"/>
      <c r="K15" s="28"/>
      <c r="L15" s="29"/>
      <c r="M15" s="45">
        <f t="shared" si="2"/>
        <v>0</v>
      </c>
      <c r="O15" s="92"/>
      <c r="P15" s="28"/>
      <c r="Q15" s="28"/>
      <c r="R15" s="29"/>
      <c r="S15" s="29">
        <f t="shared" si="6"/>
        <v>0</v>
      </c>
      <c r="T15" s="40">
        <f t="shared" si="4"/>
        <v>0</v>
      </c>
      <c r="U15" s="45">
        <f t="shared" si="5"/>
        <v>0</v>
      </c>
    </row>
    <row r="16" spans="1:37" ht="18.75" x14ac:dyDescent="0.3">
      <c r="A16" s="92"/>
      <c r="B16" s="28"/>
      <c r="C16" s="28"/>
      <c r="D16" s="28"/>
      <c r="E16" s="28"/>
      <c r="F16" s="41">
        <f t="shared" si="0"/>
        <v>0</v>
      </c>
      <c r="G16" s="42">
        <f t="shared" si="1"/>
        <v>0</v>
      </c>
      <c r="I16" s="92"/>
      <c r="J16" s="28"/>
      <c r="K16" s="28"/>
      <c r="L16" s="29"/>
      <c r="M16" s="45">
        <f t="shared" si="2"/>
        <v>0</v>
      </c>
      <c r="O16" s="92"/>
      <c r="P16" s="28"/>
      <c r="Q16" s="28"/>
      <c r="R16" s="29"/>
      <c r="S16" s="29">
        <f t="shared" si="6"/>
        <v>0</v>
      </c>
      <c r="T16" s="40">
        <f t="shared" si="4"/>
        <v>0</v>
      </c>
      <c r="U16" s="45">
        <f t="shared" si="5"/>
        <v>0</v>
      </c>
      <c r="W16" s="274" t="s">
        <v>105</v>
      </c>
      <c r="X16" s="275"/>
      <c r="Y16" s="275"/>
      <c r="Z16" s="275"/>
      <c r="AA16" s="276"/>
    </row>
    <row r="17" spans="1:27" ht="15.75" thickBot="1" x14ac:dyDescent="0.3">
      <c r="A17" s="92"/>
      <c r="B17" s="28"/>
      <c r="C17" s="28"/>
      <c r="D17" s="28"/>
      <c r="E17" s="28"/>
      <c r="F17" s="41">
        <f t="shared" si="0"/>
        <v>0</v>
      </c>
      <c r="G17" s="42">
        <f t="shared" si="1"/>
        <v>0</v>
      </c>
      <c r="I17" s="92"/>
      <c r="J17" s="28"/>
      <c r="K17" s="28"/>
      <c r="L17" s="29"/>
      <c r="M17" s="45">
        <f t="shared" si="2"/>
        <v>0</v>
      </c>
      <c r="O17" s="92"/>
      <c r="P17" s="28"/>
      <c r="Q17" s="28"/>
      <c r="R17" s="29"/>
      <c r="S17" s="29">
        <f t="shared" si="6"/>
        <v>0</v>
      </c>
      <c r="T17" s="40">
        <f t="shared" si="4"/>
        <v>0</v>
      </c>
      <c r="U17" s="45">
        <f t="shared" si="5"/>
        <v>0</v>
      </c>
      <c r="W17" s="51"/>
      <c r="X17" s="36"/>
      <c r="Y17" s="36"/>
      <c r="Z17" s="36" t="s">
        <v>110</v>
      </c>
      <c r="AA17" s="37" t="s">
        <v>109</v>
      </c>
    </row>
    <row r="18" spans="1:27" x14ac:dyDescent="0.25">
      <c r="A18" s="92"/>
      <c r="B18" s="28"/>
      <c r="C18" s="28"/>
      <c r="D18" s="28"/>
      <c r="E18" s="28"/>
      <c r="F18" s="41">
        <f t="shared" si="0"/>
        <v>0</v>
      </c>
      <c r="G18" s="42">
        <f t="shared" si="1"/>
        <v>0</v>
      </c>
      <c r="I18" s="92"/>
      <c r="J18" s="28"/>
      <c r="K18" s="28"/>
      <c r="L18" s="29"/>
      <c r="M18" s="45">
        <f t="shared" si="2"/>
        <v>0</v>
      </c>
      <c r="O18" s="92"/>
      <c r="P18" s="28"/>
      <c r="Q18" s="28"/>
      <c r="R18" s="29"/>
      <c r="S18" s="29">
        <f t="shared" si="6"/>
        <v>0</v>
      </c>
      <c r="T18" s="40">
        <f t="shared" si="4"/>
        <v>0</v>
      </c>
      <c r="U18" s="45">
        <f t="shared" si="5"/>
        <v>0</v>
      </c>
      <c r="W18" s="48" t="s">
        <v>115</v>
      </c>
      <c r="X18" s="49"/>
      <c r="Y18" s="49"/>
      <c r="Z18" s="74">
        <v>1</v>
      </c>
      <c r="AA18" s="73">
        <f>AA7*Z18</f>
        <v>0</v>
      </c>
    </row>
    <row r="19" spans="1:27" ht="15.75" thickBot="1" x14ac:dyDescent="0.3">
      <c r="A19" s="92"/>
      <c r="B19" s="28"/>
      <c r="C19" s="28"/>
      <c r="D19" s="28"/>
      <c r="E19" s="28"/>
      <c r="F19" s="41">
        <f t="shared" si="0"/>
        <v>0</v>
      </c>
      <c r="G19" s="42">
        <f t="shared" si="1"/>
        <v>0</v>
      </c>
      <c r="I19" s="92"/>
      <c r="J19" s="28"/>
      <c r="K19" s="28"/>
      <c r="L19" s="29"/>
      <c r="M19" s="45">
        <f t="shared" si="2"/>
        <v>0</v>
      </c>
      <c r="O19" s="92"/>
      <c r="P19" s="28"/>
      <c r="Q19" s="28"/>
      <c r="R19" s="29"/>
      <c r="S19" s="29">
        <f t="shared" si="6"/>
        <v>0</v>
      </c>
      <c r="T19" s="40">
        <f t="shared" si="4"/>
        <v>0</v>
      </c>
      <c r="U19" s="45">
        <f t="shared" si="5"/>
        <v>0</v>
      </c>
      <c r="W19" s="53" t="s">
        <v>116</v>
      </c>
      <c r="X19" s="38"/>
      <c r="Y19" s="38"/>
      <c r="Z19" s="75">
        <v>1</v>
      </c>
      <c r="AA19" s="72">
        <f>SUM(AA9:AA11)*Z19</f>
        <v>0</v>
      </c>
    </row>
    <row r="20" spans="1:27" ht="15.75" thickBot="1" x14ac:dyDescent="0.3">
      <c r="A20" s="92"/>
      <c r="B20" s="28"/>
      <c r="C20" s="28"/>
      <c r="D20" s="28"/>
      <c r="E20" s="28"/>
      <c r="F20" s="41">
        <f t="shared" si="0"/>
        <v>0</v>
      </c>
      <c r="G20" s="42">
        <f t="shared" si="1"/>
        <v>0</v>
      </c>
      <c r="I20" s="92"/>
      <c r="J20" s="28"/>
      <c r="K20" s="28"/>
      <c r="L20" s="29"/>
      <c r="M20" s="45">
        <f t="shared" si="2"/>
        <v>0</v>
      </c>
      <c r="O20" s="92"/>
      <c r="P20" s="28"/>
      <c r="Q20" s="28"/>
      <c r="R20" s="29"/>
      <c r="S20" s="29">
        <f t="shared" si="6"/>
        <v>0</v>
      </c>
      <c r="T20" s="40">
        <f t="shared" si="4"/>
        <v>0</v>
      </c>
      <c r="U20" s="45">
        <f t="shared" si="5"/>
        <v>0</v>
      </c>
      <c r="W20" s="51"/>
      <c r="X20" s="36"/>
      <c r="Y20" s="36" t="s">
        <v>143</v>
      </c>
      <c r="Z20" s="119" t="s">
        <v>99</v>
      </c>
      <c r="AA20" s="120">
        <f>SUM(AA18:AA19)</f>
        <v>0</v>
      </c>
    </row>
    <row r="21" spans="1:27" x14ac:dyDescent="0.25">
      <c r="A21" s="92"/>
      <c r="B21" s="28"/>
      <c r="C21" s="28"/>
      <c r="D21" s="28"/>
      <c r="E21" s="28"/>
      <c r="F21" s="41">
        <f t="shared" si="0"/>
        <v>0</v>
      </c>
      <c r="G21" s="42">
        <f t="shared" si="1"/>
        <v>0</v>
      </c>
      <c r="I21" s="92"/>
      <c r="J21" s="28"/>
      <c r="K21" s="28"/>
      <c r="L21" s="29"/>
      <c r="M21" s="45">
        <f t="shared" si="2"/>
        <v>0</v>
      </c>
      <c r="O21" s="92"/>
      <c r="P21" s="28"/>
      <c r="Q21" s="28"/>
      <c r="R21" s="29"/>
      <c r="S21" s="29">
        <f t="shared" si="6"/>
        <v>0</v>
      </c>
      <c r="T21" s="40">
        <f t="shared" si="4"/>
        <v>0</v>
      </c>
      <c r="U21" s="45">
        <f t="shared" si="5"/>
        <v>0</v>
      </c>
      <c r="W21" s="271" t="s">
        <v>119</v>
      </c>
      <c r="X21" s="272"/>
      <c r="Y21" s="272"/>
      <c r="Z21" s="272"/>
      <c r="AA21" s="273"/>
    </row>
    <row r="22" spans="1:27" ht="15.75" thickBot="1" x14ac:dyDescent="0.3">
      <c r="A22" s="92"/>
      <c r="B22" s="28"/>
      <c r="C22" s="28"/>
      <c r="D22" s="28"/>
      <c r="E22" s="28"/>
      <c r="F22" s="41">
        <f t="shared" si="0"/>
        <v>0</v>
      </c>
      <c r="G22" s="42">
        <f t="shared" si="1"/>
        <v>0</v>
      </c>
      <c r="I22" s="92"/>
      <c r="J22" s="28"/>
      <c r="K22" s="28"/>
      <c r="L22" s="29"/>
      <c r="M22" s="45">
        <f t="shared" si="2"/>
        <v>0</v>
      </c>
      <c r="O22" s="92"/>
      <c r="P22" s="28"/>
      <c r="Q22" s="28"/>
      <c r="R22" s="29"/>
      <c r="S22" s="29">
        <f t="shared" si="6"/>
        <v>0</v>
      </c>
      <c r="T22" s="40">
        <f t="shared" si="4"/>
        <v>0</v>
      </c>
      <c r="U22" s="45">
        <f t="shared" si="5"/>
        <v>0</v>
      </c>
      <c r="W22" s="51"/>
      <c r="X22" s="36"/>
      <c r="Y22" s="36"/>
      <c r="Z22" s="36" t="s">
        <v>110</v>
      </c>
      <c r="AA22" s="37" t="s">
        <v>109</v>
      </c>
    </row>
    <row r="23" spans="1:27" x14ac:dyDescent="0.25">
      <c r="A23" s="92"/>
      <c r="B23" s="28"/>
      <c r="C23" s="28"/>
      <c r="D23" s="28"/>
      <c r="E23" s="28"/>
      <c r="F23" s="41">
        <f t="shared" si="0"/>
        <v>0</v>
      </c>
      <c r="G23" s="42">
        <f t="shared" si="1"/>
        <v>0</v>
      </c>
      <c r="I23" s="92"/>
      <c r="J23" s="28"/>
      <c r="K23" s="28"/>
      <c r="L23" s="29"/>
      <c r="M23" s="45">
        <f t="shared" si="2"/>
        <v>0</v>
      </c>
      <c r="O23" s="92"/>
      <c r="P23" s="28"/>
      <c r="Q23" s="28"/>
      <c r="R23" s="29"/>
      <c r="S23" s="29">
        <f t="shared" si="6"/>
        <v>0</v>
      </c>
      <c r="T23" s="40">
        <f t="shared" si="4"/>
        <v>0</v>
      </c>
      <c r="U23" s="45">
        <f t="shared" si="5"/>
        <v>0</v>
      </c>
      <c r="W23" s="48" t="s">
        <v>106</v>
      </c>
      <c r="X23" s="49"/>
      <c r="Y23" s="49" t="str">
        <f>IF(AA23 &gt; 0, "****", " ")</f>
        <v xml:space="preserve"> </v>
      </c>
      <c r="Z23" s="74">
        <v>1</v>
      </c>
      <c r="AA23" s="73">
        <f t="shared" ref="AA23:AA31" si="7">($AA$18+$AA$19)*Z23</f>
        <v>0</v>
      </c>
    </row>
    <row r="24" spans="1:27" x14ac:dyDescent="0.25">
      <c r="A24" s="92"/>
      <c r="B24" s="28"/>
      <c r="C24" s="28"/>
      <c r="D24" s="28"/>
      <c r="E24" s="28"/>
      <c r="F24" s="41">
        <f t="shared" si="0"/>
        <v>0</v>
      </c>
      <c r="G24" s="42">
        <f t="shared" si="1"/>
        <v>0</v>
      </c>
      <c r="I24" s="92"/>
      <c r="J24" s="28"/>
      <c r="K24" s="28"/>
      <c r="L24" s="29"/>
      <c r="M24" s="45">
        <f t="shared" si="2"/>
        <v>0</v>
      </c>
      <c r="O24" s="92"/>
      <c r="P24" s="28"/>
      <c r="Q24" s="28"/>
      <c r="R24" s="29"/>
      <c r="S24" s="29">
        <f t="shared" si="6"/>
        <v>0</v>
      </c>
      <c r="T24" s="40">
        <f t="shared" si="4"/>
        <v>0</v>
      </c>
      <c r="U24" s="45">
        <f t="shared" si="5"/>
        <v>0</v>
      </c>
      <c r="W24" s="51" t="s">
        <v>107</v>
      </c>
      <c r="X24" s="36"/>
      <c r="Y24" s="36" t="str">
        <f t="shared" ref="Y24:Y30" si="8">IF(AA24 &gt; 0, "****", " ")</f>
        <v xml:space="preserve"> </v>
      </c>
      <c r="Z24" s="76"/>
      <c r="AA24" s="71">
        <f t="shared" si="7"/>
        <v>0</v>
      </c>
    </row>
    <row r="25" spans="1:27" x14ac:dyDescent="0.25">
      <c r="A25" s="92"/>
      <c r="B25" s="28"/>
      <c r="C25" s="28"/>
      <c r="D25" s="28"/>
      <c r="E25" s="28"/>
      <c r="F25" s="41">
        <f t="shared" si="0"/>
        <v>0</v>
      </c>
      <c r="G25" s="42">
        <f t="shared" si="1"/>
        <v>0</v>
      </c>
      <c r="I25" s="92"/>
      <c r="J25" s="28"/>
      <c r="K25" s="28"/>
      <c r="L25" s="29"/>
      <c r="M25" s="45">
        <f t="shared" si="2"/>
        <v>0</v>
      </c>
      <c r="O25" s="92"/>
      <c r="P25" s="28"/>
      <c r="Q25" s="28"/>
      <c r="R25" s="29"/>
      <c r="S25" s="29">
        <f t="shared" si="6"/>
        <v>0</v>
      </c>
      <c r="T25" s="40">
        <f t="shared" si="4"/>
        <v>0</v>
      </c>
      <c r="U25" s="45">
        <f t="shared" si="5"/>
        <v>0</v>
      </c>
      <c r="W25" s="51" t="s">
        <v>108</v>
      </c>
      <c r="X25" s="36"/>
      <c r="Y25" s="36" t="str">
        <f t="shared" si="8"/>
        <v xml:space="preserve"> </v>
      </c>
      <c r="Z25" s="76"/>
      <c r="AA25" s="71">
        <f t="shared" si="7"/>
        <v>0</v>
      </c>
    </row>
    <row r="26" spans="1:27" x14ac:dyDescent="0.25">
      <c r="A26" s="92"/>
      <c r="B26" s="28"/>
      <c r="C26" s="28"/>
      <c r="D26" s="28"/>
      <c r="E26" s="28"/>
      <c r="F26" s="41">
        <f t="shared" si="0"/>
        <v>0</v>
      </c>
      <c r="G26" s="42">
        <f t="shared" si="1"/>
        <v>0</v>
      </c>
      <c r="I26" s="92"/>
      <c r="J26" s="28"/>
      <c r="K26" s="28"/>
      <c r="L26" s="29"/>
      <c r="M26" s="45">
        <f t="shared" si="2"/>
        <v>0</v>
      </c>
      <c r="O26" s="92"/>
      <c r="P26" s="28"/>
      <c r="Q26" s="28"/>
      <c r="R26" s="29"/>
      <c r="S26" s="29">
        <f t="shared" si="6"/>
        <v>0</v>
      </c>
      <c r="T26" s="40">
        <f t="shared" si="4"/>
        <v>0</v>
      </c>
      <c r="U26" s="45">
        <f t="shared" si="5"/>
        <v>0</v>
      </c>
      <c r="W26" s="51" t="s">
        <v>111</v>
      </c>
      <c r="X26" s="36"/>
      <c r="Y26" s="36" t="str">
        <f t="shared" si="8"/>
        <v xml:space="preserve"> </v>
      </c>
      <c r="Z26" s="76"/>
      <c r="AA26" s="71">
        <f t="shared" si="7"/>
        <v>0</v>
      </c>
    </row>
    <row r="27" spans="1:27" x14ac:dyDescent="0.25">
      <c r="A27" s="92"/>
      <c r="B27" s="28"/>
      <c r="C27" s="28"/>
      <c r="D27" s="28"/>
      <c r="E27" s="28"/>
      <c r="F27" s="41">
        <f t="shared" si="0"/>
        <v>0</v>
      </c>
      <c r="G27" s="42">
        <f t="shared" si="1"/>
        <v>0</v>
      </c>
      <c r="I27" s="92"/>
      <c r="J27" s="28"/>
      <c r="K27" s="28"/>
      <c r="L27" s="29"/>
      <c r="M27" s="45">
        <f t="shared" si="2"/>
        <v>0</v>
      </c>
      <c r="O27" s="92"/>
      <c r="P27" s="28"/>
      <c r="Q27" s="28"/>
      <c r="R27" s="29"/>
      <c r="S27" s="29">
        <f t="shared" si="6"/>
        <v>0</v>
      </c>
      <c r="T27" s="40">
        <f t="shared" si="4"/>
        <v>0</v>
      </c>
      <c r="U27" s="45">
        <f t="shared" si="5"/>
        <v>0</v>
      </c>
      <c r="W27" s="51" t="s">
        <v>112</v>
      </c>
      <c r="X27" s="36"/>
      <c r="Y27" s="36" t="str">
        <f t="shared" si="8"/>
        <v xml:space="preserve"> </v>
      </c>
      <c r="Z27" s="76"/>
      <c r="AA27" s="71">
        <f t="shared" si="7"/>
        <v>0</v>
      </c>
    </row>
    <row r="28" spans="1:27" x14ac:dyDescent="0.25">
      <c r="A28" s="92"/>
      <c r="B28" s="28"/>
      <c r="C28" s="28"/>
      <c r="D28" s="28"/>
      <c r="E28" s="28"/>
      <c r="F28" s="41">
        <f t="shared" si="0"/>
        <v>0</v>
      </c>
      <c r="G28" s="42">
        <f t="shared" si="1"/>
        <v>0</v>
      </c>
      <c r="I28" s="92"/>
      <c r="J28" s="28"/>
      <c r="K28" s="28"/>
      <c r="L28" s="29"/>
      <c r="M28" s="45">
        <f t="shared" si="2"/>
        <v>0</v>
      </c>
      <c r="O28" s="92"/>
      <c r="P28" s="28"/>
      <c r="Q28" s="28"/>
      <c r="R28" s="29"/>
      <c r="S28" s="29">
        <f t="shared" si="6"/>
        <v>0</v>
      </c>
      <c r="T28" s="40">
        <f t="shared" si="4"/>
        <v>0</v>
      </c>
      <c r="U28" s="45">
        <f t="shared" si="5"/>
        <v>0</v>
      </c>
      <c r="W28" s="51" t="s">
        <v>113</v>
      </c>
      <c r="X28" s="36"/>
      <c r="Y28" s="36" t="str">
        <f t="shared" si="8"/>
        <v xml:space="preserve"> </v>
      </c>
      <c r="Z28" s="76"/>
      <c r="AA28" s="71">
        <f t="shared" si="7"/>
        <v>0</v>
      </c>
    </row>
    <row r="29" spans="1:27" x14ac:dyDescent="0.25">
      <c r="A29" s="92"/>
      <c r="B29" s="28"/>
      <c r="C29" s="28"/>
      <c r="D29" s="28"/>
      <c r="E29" s="28"/>
      <c r="F29" s="41">
        <f t="shared" si="0"/>
        <v>0</v>
      </c>
      <c r="G29" s="42">
        <f t="shared" si="1"/>
        <v>0</v>
      </c>
      <c r="I29" s="92"/>
      <c r="J29" s="28"/>
      <c r="K29" s="28"/>
      <c r="L29" s="29"/>
      <c r="M29" s="45">
        <f t="shared" si="2"/>
        <v>0</v>
      </c>
      <c r="O29" s="92"/>
      <c r="P29" s="28"/>
      <c r="Q29" s="28"/>
      <c r="R29" s="29"/>
      <c r="S29" s="29">
        <f t="shared" si="6"/>
        <v>0</v>
      </c>
      <c r="T29" s="40">
        <f t="shared" si="4"/>
        <v>0</v>
      </c>
      <c r="U29" s="45">
        <f t="shared" si="5"/>
        <v>0</v>
      </c>
      <c r="W29" s="51" t="s">
        <v>114</v>
      </c>
      <c r="X29" s="36"/>
      <c r="Y29" s="36" t="str">
        <f t="shared" si="8"/>
        <v xml:space="preserve"> </v>
      </c>
      <c r="Z29" s="76"/>
      <c r="AA29" s="71">
        <f t="shared" si="7"/>
        <v>0</v>
      </c>
    </row>
    <row r="30" spans="1:27" x14ac:dyDescent="0.25">
      <c r="A30" s="27"/>
      <c r="B30" s="28"/>
      <c r="C30" s="28"/>
      <c r="D30" s="28"/>
      <c r="E30" s="28"/>
      <c r="F30" s="41">
        <f t="shared" si="0"/>
        <v>0</v>
      </c>
      <c r="G30" s="42">
        <f t="shared" si="1"/>
        <v>0</v>
      </c>
      <c r="I30" s="92"/>
      <c r="J30" s="28"/>
      <c r="K30" s="28"/>
      <c r="L30" s="29"/>
      <c r="M30" s="45">
        <f t="shared" si="2"/>
        <v>0</v>
      </c>
      <c r="O30" s="92"/>
      <c r="P30" s="28"/>
      <c r="Q30" s="28"/>
      <c r="R30" s="29"/>
      <c r="S30" s="29">
        <f t="shared" si="6"/>
        <v>0</v>
      </c>
      <c r="T30" s="40">
        <f t="shared" si="4"/>
        <v>0</v>
      </c>
      <c r="U30" s="45">
        <f t="shared" si="5"/>
        <v>0</v>
      </c>
      <c r="W30" s="51" t="s">
        <v>117</v>
      </c>
      <c r="X30" s="36"/>
      <c r="Y30" s="36" t="str">
        <f t="shared" si="8"/>
        <v xml:space="preserve"> </v>
      </c>
      <c r="Z30" s="76"/>
      <c r="AA30" s="71">
        <f t="shared" si="7"/>
        <v>0</v>
      </c>
    </row>
    <row r="31" spans="1:27" ht="15.75" thickBot="1" x14ac:dyDescent="0.3">
      <c r="A31" s="27"/>
      <c r="B31" s="28"/>
      <c r="C31" s="28"/>
      <c r="D31" s="28"/>
      <c r="E31" s="28"/>
      <c r="F31" s="41">
        <f t="shared" si="0"/>
        <v>0</v>
      </c>
      <c r="G31" s="42">
        <f t="shared" si="1"/>
        <v>0</v>
      </c>
      <c r="I31" s="92"/>
      <c r="J31" s="28"/>
      <c r="K31" s="28"/>
      <c r="L31" s="29"/>
      <c r="M31" s="45">
        <f t="shared" si="2"/>
        <v>0</v>
      </c>
      <c r="O31" s="92"/>
      <c r="P31" s="28"/>
      <c r="Q31" s="28"/>
      <c r="R31" s="29"/>
      <c r="S31" s="29">
        <f t="shared" si="6"/>
        <v>0</v>
      </c>
      <c r="T31" s="40">
        <f t="shared" si="4"/>
        <v>0</v>
      </c>
      <c r="U31" s="45">
        <f t="shared" si="5"/>
        <v>0</v>
      </c>
      <c r="W31" s="53"/>
      <c r="X31" s="38"/>
      <c r="Y31" s="38"/>
      <c r="Z31" s="75"/>
      <c r="AA31" s="72">
        <f t="shared" si="7"/>
        <v>0</v>
      </c>
    </row>
    <row r="32" spans="1:27" x14ac:dyDescent="0.25">
      <c r="A32" s="27"/>
      <c r="B32" s="28"/>
      <c r="C32" s="28"/>
      <c r="D32" s="28"/>
      <c r="E32" s="28"/>
      <c r="F32" s="41">
        <f t="shared" si="0"/>
        <v>0</v>
      </c>
      <c r="G32" s="42">
        <f t="shared" si="1"/>
        <v>0</v>
      </c>
      <c r="I32" s="92"/>
      <c r="J32" s="28"/>
      <c r="K32" s="28"/>
      <c r="L32" s="29"/>
      <c r="M32" s="45">
        <f t="shared" si="2"/>
        <v>0</v>
      </c>
      <c r="O32" s="92"/>
      <c r="P32" s="28"/>
      <c r="Q32" s="28"/>
      <c r="R32" s="29"/>
      <c r="S32" s="29">
        <f t="shared" si="6"/>
        <v>0</v>
      </c>
      <c r="T32" s="40">
        <f t="shared" ref="T32:T43" si="9">R32*S32</f>
        <v>0</v>
      </c>
      <c r="U32" s="45">
        <f t="shared" si="5"/>
        <v>0</v>
      </c>
      <c r="Y32" s="22" t="s">
        <v>141</v>
      </c>
      <c r="AA32" s="22" t="s">
        <v>141</v>
      </c>
    </row>
    <row r="33" spans="1:27" ht="15.75" thickBot="1" x14ac:dyDescent="0.3">
      <c r="A33" s="27"/>
      <c r="B33" s="28"/>
      <c r="C33" s="28"/>
      <c r="D33" s="28"/>
      <c r="E33" s="28"/>
      <c r="F33" s="41">
        <f t="shared" si="0"/>
        <v>0</v>
      </c>
      <c r="G33" s="42">
        <f t="shared" si="1"/>
        <v>0</v>
      </c>
      <c r="I33" s="92"/>
      <c r="J33" s="91"/>
      <c r="K33" s="91"/>
      <c r="L33" s="29"/>
      <c r="M33" s="45">
        <f t="shared" si="2"/>
        <v>0</v>
      </c>
      <c r="O33" s="92"/>
      <c r="P33" s="28"/>
      <c r="Q33" s="28"/>
      <c r="R33" s="29"/>
      <c r="S33" s="29">
        <f t="shared" si="6"/>
        <v>0</v>
      </c>
      <c r="T33" s="40">
        <f t="shared" si="9"/>
        <v>0</v>
      </c>
      <c r="U33" s="45">
        <f t="shared" si="5"/>
        <v>0</v>
      </c>
    </row>
    <row r="34" spans="1:27" ht="18.75" x14ac:dyDescent="0.3">
      <c r="A34" s="27"/>
      <c r="B34" s="28"/>
      <c r="C34" s="28"/>
      <c r="D34" s="28"/>
      <c r="E34" s="28"/>
      <c r="F34" s="41">
        <f t="shared" si="0"/>
        <v>0</v>
      </c>
      <c r="G34" s="42">
        <f t="shared" si="1"/>
        <v>0</v>
      </c>
      <c r="I34" s="92"/>
      <c r="J34" s="91"/>
      <c r="K34" s="91"/>
      <c r="L34" s="29"/>
      <c r="M34" s="45">
        <f t="shared" si="2"/>
        <v>0</v>
      </c>
      <c r="O34" s="92"/>
      <c r="P34" s="28"/>
      <c r="Q34" s="28"/>
      <c r="R34" s="29"/>
      <c r="S34" s="29">
        <f t="shared" si="6"/>
        <v>0</v>
      </c>
      <c r="T34" s="40">
        <f t="shared" si="9"/>
        <v>0</v>
      </c>
      <c r="U34" s="45">
        <f t="shared" si="5"/>
        <v>0</v>
      </c>
      <c r="W34" s="274" t="s">
        <v>118</v>
      </c>
      <c r="X34" s="275"/>
      <c r="Y34" s="275"/>
      <c r="Z34" s="275"/>
      <c r="AA34" s="276"/>
    </row>
    <row r="35" spans="1:27" ht="15.75" thickBot="1" x14ac:dyDescent="0.3">
      <c r="A35" s="27"/>
      <c r="B35" s="28"/>
      <c r="C35" s="28"/>
      <c r="D35" s="28"/>
      <c r="E35" s="28"/>
      <c r="F35" s="41">
        <f t="shared" si="0"/>
        <v>0</v>
      </c>
      <c r="G35" s="42">
        <f t="shared" si="1"/>
        <v>0</v>
      </c>
      <c r="I35" s="92"/>
      <c r="J35" s="91"/>
      <c r="K35" s="91"/>
      <c r="L35" s="29"/>
      <c r="M35" s="45">
        <f t="shared" si="2"/>
        <v>0</v>
      </c>
      <c r="O35" s="92"/>
      <c r="P35" s="28"/>
      <c r="Q35" s="28"/>
      <c r="R35" s="29"/>
      <c r="S35" s="29">
        <f t="shared" si="6"/>
        <v>0</v>
      </c>
      <c r="T35" s="40">
        <f t="shared" si="9"/>
        <v>0</v>
      </c>
      <c r="U35" s="45">
        <f t="shared" si="5"/>
        <v>0</v>
      </c>
      <c r="W35" s="53"/>
      <c r="X35" s="38"/>
      <c r="Y35" s="38"/>
      <c r="Z35" s="38" t="s">
        <v>110</v>
      </c>
      <c r="AA35" s="39" t="s">
        <v>109</v>
      </c>
    </row>
    <row r="36" spans="1:27" x14ac:dyDescent="0.25">
      <c r="A36" s="27"/>
      <c r="B36" s="28"/>
      <c r="C36" s="28"/>
      <c r="D36" s="28"/>
      <c r="E36" s="28"/>
      <c r="F36" s="41">
        <f t="shared" si="0"/>
        <v>0</v>
      </c>
      <c r="G36" s="42">
        <f t="shared" si="1"/>
        <v>0</v>
      </c>
      <c r="I36" s="92"/>
      <c r="J36" s="91"/>
      <c r="K36" s="91"/>
      <c r="L36" s="29"/>
      <c r="M36" s="45">
        <f t="shared" si="2"/>
        <v>0</v>
      </c>
      <c r="O36" s="92"/>
      <c r="P36" s="28"/>
      <c r="Q36" s="28"/>
      <c r="R36" s="29"/>
      <c r="S36" s="29">
        <f t="shared" si="6"/>
        <v>0</v>
      </c>
      <c r="T36" s="40">
        <f t="shared" si="9"/>
        <v>0</v>
      </c>
      <c r="U36" s="45">
        <f t="shared" si="5"/>
        <v>0</v>
      </c>
      <c r="W36" s="51" t="s">
        <v>129</v>
      </c>
      <c r="X36" s="36"/>
      <c r="Y36" s="36" t="str">
        <f>IF(AA36&gt; 0, "*****", " ")</f>
        <v xml:space="preserve"> </v>
      </c>
      <c r="Z36" s="74">
        <v>1</v>
      </c>
      <c r="AA36" s="71">
        <f>Z36*$Z$13</f>
        <v>0</v>
      </c>
    </row>
    <row r="37" spans="1:27" x14ac:dyDescent="0.25">
      <c r="A37" s="27"/>
      <c r="B37" s="28"/>
      <c r="C37" s="28"/>
      <c r="D37" s="28"/>
      <c r="E37" s="28"/>
      <c r="F37" s="41">
        <f t="shared" si="0"/>
        <v>0</v>
      </c>
      <c r="G37" s="42">
        <f t="shared" si="1"/>
        <v>0</v>
      </c>
      <c r="I37" s="92"/>
      <c r="J37" s="91"/>
      <c r="K37" s="91"/>
      <c r="L37" s="29"/>
      <c r="M37" s="45">
        <f t="shared" si="2"/>
        <v>0</v>
      </c>
      <c r="O37" s="92"/>
      <c r="P37" s="28"/>
      <c r="Q37" s="28"/>
      <c r="R37" s="29"/>
      <c r="S37" s="29">
        <f t="shared" si="6"/>
        <v>0</v>
      </c>
      <c r="T37" s="40">
        <f t="shared" si="9"/>
        <v>0</v>
      </c>
      <c r="U37" s="45">
        <f t="shared" si="5"/>
        <v>0</v>
      </c>
      <c r="W37" s="51" t="s">
        <v>130</v>
      </c>
      <c r="X37" s="36"/>
      <c r="Y37" s="36" t="str">
        <f t="shared" ref="Y37:Y45" si="10">IF(AA37&gt; 0, "*****", " ")</f>
        <v xml:space="preserve"> </v>
      </c>
      <c r="Z37" s="76"/>
      <c r="AA37" s="71">
        <f t="shared" ref="AA37:AA43" si="11">Z37*$Z$13</f>
        <v>0</v>
      </c>
    </row>
    <row r="38" spans="1:27" x14ac:dyDescent="0.25">
      <c r="A38" s="27"/>
      <c r="B38" s="28"/>
      <c r="C38" s="28"/>
      <c r="D38" s="28"/>
      <c r="E38" s="28"/>
      <c r="F38" s="41">
        <f t="shared" si="0"/>
        <v>0</v>
      </c>
      <c r="G38" s="42">
        <f t="shared" si="1"/>
        <v>0</v>
      </c>
      <c r="I38" s="92"/>
      <c r="J38" s="91"/>
      <c r="K38" s="91"/>
      <c r="L38" s="29"/>
      <c r="M38" s="45">
        <f t="shared" si="2"/>
        <v>0</v>
      </c>
      <c r="O38" s="92"/>
      <c r="P38" s="28"/>
      <c r="Q38" s="28"/>
      <c r="R38" s="29"/>
      <c r="S38" s="29">
        <f t="shared" si="6"/>
        <v>0</v>
      </c>
      <c r="T38" s="40">
        <f t="shared" si="9"/>
        <v>0</v>
      </c>
      <c r="U38" s="45">
        <f t="shared" si="5"/>
        <v>0</v>
      </c>
      <c r="W38" s="51" t="s">
        <v>131</v>
      </c>
      <c r="X38" s="36"/>
      <c r="Y38" s="36" t="str">
        <f t="shared" si="10"/>
        <v xml:space="preserve"> </v>
      </c>
      <c r="Z38" s="77"/>
      <c r="AA38" s="71">
        <f t="shared" si="11"/>
        <v>0</v>
      </c>
    </row>
    <row r="39" spans="1:27" x14ac:dyDescent="0.25">
      <c r="A39" s="27"/>
      <c r="B39" s="28"/>
      <c r="C39" s="28"/>
      <c r="D39" s="28"/>
      <c r="E39" s="28"/>
      <c r="F39" s="41">
        <f t="shared" si="0"/>
        <v>0</v>
      </c>
      <c r="G39" s="42">
        <f t="shared" si="1"/>
        <v>0</v>
      </c>
      <c r="I39" s="92"/>
      <c r="J39" s="28"/>
      <c r="K39" s="28"/>
      <c r="L39" s="29"/>
      <c r="M39" s="45">
        <f t="shared" si="2"/>
        <v>0</v>
      </c>
      <c r="O39" s="92"/>
      <c r="P39" s="28"/>
      <c r="Q39" s="28"/>
      <c r="R39" s="29"/>
      <c r="S39" s="29">
        <f t="shared" si="6"/>
        <v>0</v>
      </c>
      <c r="T39" s="40">
        <f t="shared" si="9"/>
        <v>0</v>
      </c>
      <c r="U39" s="45">
        <f t="shared" si="5"/>
        <v>0</v>
      </c>
      <c r="W39" s="51" t="s">
        <v>132</v>
      </c>
      <c r="X39" s="36"/>
      <c r="Y39" s="36" t="str">
        <f t="shared" si="10"/>
        <v xml:space="preserve"> </v>
      </c>
      <c r="Z39" s="77"/>
      <c r="AA39" s="71">
        <f t="shared" si="11"/>
        <v>0</v>
      </c>
    </row>
    <row r="40" spans="1:27" x14ac:dyDescent="0.25">
      <c r="A40" s="27"/>
      <c r="B40" s="28"/>
      <c r="C40" s="28"/>
      <c r="D40" s="28"/>
      <c r="E40" s="28"/>
      <c r="F40" s="41">
        <f t="shared" si="0"/>
        <v>0</v>
      </c>
      <c r="G40" s="42">
        <f t="shared" si="1"/>
        <v>0</v>
      </c>
      <c r="I40" s="92"/>
      <c r="J40" s="28"/>
      <c r="K40" s="28"/>
      <c r="L40" s="29"/>
      <c r="M40" s="45">
        <f t="shared" si="2"/>
        <v>0</v>
      </c>
      <c r="O40" s="92"/>
      <c r="P40" s="28"/>
      <c r="Q40" s="28"/>
      <c r="R40" s="29"/>
      <c r="S40" s="29">
        <f t="shared" si="6"/>
        <v>0</v>
      </c>
      <c r="T40" s="40">
        <f t="shared" si="9"/>
        <v>0</v>
      </c>
      <c r="U40" s="45">
        <f t="shared" si="5"/>
        <v>0</v>
      </c>
      <c r="W40" s="51" t="s">
        <v>133</v>
      </c>
      <c r="X40" s="36"/>
      <c r="Y40" s="36" t="str">
        <f t="shared" si="10"/>
        <v xml:space="preserve"> </v>
      </c>
      <c r="Z40" s="77"/>
      <c r="AA40" s="71">
        <f t="shared" si="11"/>
        <v>0</v>
      </c>
    </row>
    <row r="41" spans="1:27" x14ac:dyDescent="0.25">
      <c r="A41" s="27"/>
      <c r="B41" s="28"/>
      <c r="C41" s="28"/>
      <c r="D41" s="28"/>
      <c r="E41" s="28"/>
      <c r="F41" s="41">
        <f t="shared" si="0"/>
        <v>0</v>
      </c>
      <c r="G41" s="42">
        <f t="shared" si="1"/>
        <v>0</v>
      </c>
      <c r="I41" s="92"/>
      <c r="J41" s="28"/>
      <c r="K41" s="28"/>
      <c r="L41" s="29"/>
      <c r="M41" s="45">
        <f t="shared" si="2"/>
        <v>0</v>
      </c>
      <c r="O41" s="92"/>
      <c r="P41" s="28"/>
      <c r="Q41" s="28"/>
      <c r="R41" s="29"/>
      <c r="S41" s="29">
        <f t="shared" si="6"/>
        <v>0</v>
      </c>
      <c r="T41" s="40">
        <f t="shared" si="9"/>
        <v>0</v>
      </c>
      <c r="U41" s="45">
        <f t="shared" si="5"/>
        <v>0</v>
      </c>
      <c r="W41" s="51" t="s">
        <v>134</v>
      </c>
      <c r="X41" s="36"/>
      <c r="Y41" s="36" t="str">
        <f t="shared" si="10"/>
        <v xml:space="preserve"> </v>
      </c>
      <c r="Z41" s="77"/>
      <c r="AA41" s="71">
        <f t="shared" si="11"/>
        <v>0</v>
      </c>
    </row>
    <row r="42" spans="1:27" x14ac:dyDescent="0.25">
      <c r="A42" s="27"/>
      <c r="B42" s="28"/>
      <c r="C42" s="28"/>
      <c r="D42" s="28"/>
      <c r="E42" s="28"/>
      <c r="F42" s="41">
        <f t="shared" si="0"/>
        <v>0</v>
      </c>
      <c r="G42" s="42">
        <f t="shared" si="1"/>
        <v>0</v>
      </c>
      <c r="I42" s="92"/>
      <c r="J42" s="28"/>
      <c r="K42" s="28"/>
      <c r="L42" s="29"/>
      <c r="M42" s="45">
        <f t="shared" si="2"/>
        <v>0</v>
      </c>
      <c r="O42" s="92"/>
      <c r="P42" s="28"/>
      <c r="Q42" s="28"/>
      <c r="R42" s="29"/>
      <c r="S42" s="29">
        <f t="shared" si="6"/>
        <v>0</v>
      </c>
      <c r="T42" s="40">
        <f t="shared" si="9"/>
        <v>0</v>
      </c>
      <c r="U42" s="45">
        <f t="shared" si="5"/>
        <v>0</v>
      </c>
      <c r="W42" s="51" t="s">
        <v>135</v>
      </c>
      <c r="X42" s="36"/>
      <c r="Y42" s="36" t="str">
        <f t="shared" si="10"/>
        <v xml:space="preserve"> </v>
      </c>
      <c r="Z42" s="77"/>
      <c r="AA42" s="71">
        <f t="shared" si="11"/>
        <v>0</v>
      </c>
    </row>
    <row r="43" spans="1:27" x14ac:dyDescent="0.25">
      <c r="A43" s="27"/>
      <c r="B43" s="28"/>
      <c r="C43" s="28"/>
      <c r="D43" s="28"/>
      <c r="E43" s="28"/>
      <c r="F43" s="41">
        <f t="shared" si="0"/>
        <v>0</v>
      </c>
      <c r="G43" s="42">
        <f t="shared" si="1"/>
        <v>0</v>
      </c>
      <c r="I43" s="92"/>
      <c r="J43" s="28"/>
      <c r="K43" s="28"/>
      <c r="L43" s="29"/>
      <c r="M43" s="45">
        <f t="shared" si="2"/>
        <v>0</v>
      </c>
      <c r="O43" s="92"/>
      <c r="P43" s="28"/>
      <c r="Q43" s="28"/>
      <c r="R43" s="29"/>
      <c r="S43" s="29">
        <f t="shared" si="6"/>
        <v>0</v>
      </c>
      <c r="T43" s="40">
        <f t="shared" si="9"/>
        <v>0</v>
      </c>
      <c r="U43" s="45">
        <f t="shared" si="5"/>
        <v>0</v>
      </c>
      <c r="W43" s="51" t="s">
        <v>136</v>
      </c>
      <c r="X43" s="36"/>
      <c r="Y43" s="36" t="str">
        <f t="shared" si="10"/>
        <v xml:space="preserve"> </v>
      </c>
      <c r="Z43" s="77"/>
      <c r="AA43" s="71">
        <f t="shared" si="11"/>
        <v>0</v>
      </c>
    </row>
    <row r="44" spans="1:27" x14ac:dyDescent="0.25">
      <c r="A44" s="27"/>
      <c r="B44" s="28"/>
      <c r="C44" s="28"/>
      <c r="D44" s="28"/>
      <c r="E44" s="28"/>
      <c r="F44" s="41">
        <f t="shared" si="0"/>
        <v>0</v>
      </c>
      <c r="G44" s="42">
        <f t="shared" si="1"/>
        <v>0</v>
      </c>
      <c r="I44" s="92"/>
      <c r="J44" s="28"/>
      <c r="K44" s="28"/>
      <c r="L44" s="29"/>
      <c r="M44" s="45">
        <f t="shared" si="2"/>
        <v>0</v>
      </c>
      <c r="O44" s="92"/>
      <c r="P44" s="28"/>
      <c r="Q44" s="28"/>
      <c r="R44" s="29"/>
      <c r="S44" s="29">
        <f t="shared" si="6"/>
        <v>0</v>
      </c>
      <c r="T44" s="40">
        <f t="shared" si="4"/>
        <v>0</v>
      </c>
      <c r="U44" s="45">
        <f t="shared" si="5"/>
        <v>0</v>
      </c>
      <c r="W44" s="51"/>
      <c r="X44" s="36"/>
      <c r="Y44" s="36" t="str">
        <f t="shared" si="10"/>
        <v xml:space="preserve"> </v>
      </c>
      <c r="Z44" s="77"/>
      <c r="AA44" s="37"/>
    </row>
    <row r="45" spans="1:27" ht="15.75" thickBot="1" x14ac:dyDescent="0.3">
      <c r="A45" s="27"/>
      <c r="B45" s="28"/>
      <c r="C45" s="28"/>
      <c r="D45" s="28"/>
      <c r="E45" s="28"/>
      <c r="F45" s="41">
        <f t="shared" si="0"/>
        <v>0</v>
      </c>
      <c r="G45" s="42">
        <f t="shared" si="1"/>
        <v>0</v>
      </c>
      <c r="I45" s="92"/>
      <c r="J45" s="28"/>
      <c r="K45" s="28"/>
      <c r="L45" s="29"/>
      <c r="M45" s="45">
        <f t="shared" si="2"/>
        <v>0</v>
      </c>
      <c r="O45" s="92"/>
      <c r="P45" s="28"/>
      <c r="Q45" s="28"/>
      <c r="R45" s="29"/>
      <c r="S45" s="29">
        <f t="shared" si="6"/>
        <v>0</v>
      </c>
      <c r="T45" s="40">
        <f t="shared" si="4"/>
        <v>0</v>
      </c>
      <c r="U45" s="45">
        <f t="shared" si="5"/>
        <v>0</v>
      </c>
      <c r="W45" s="53"/>
      <c r="X45" s="38"/>
      <c r="Y45" s="38" t="str">
        <f t="shared" si="10"/>
        <v xml:space="preserve"> </v>
      </c>
      <c r="Z45" s="24"/>
      <c r="AA45" s="39"/>
    </row>
    <row r="46" spans="1:27" x14ac:dyDescent="0.25">
      <c r="A46" s="27"/>
      <c r="B46" s="28"/>
      <c r="C46" s="28"/>
      <c r="D46" s="28"/>
      <c r="E46" s="28"/>
      <c r="F46" s="41">
        <f t="shared" si="0"/>
        <v>0</v>
      </c>
      <c r="G46" s="42">
        <f t="shared" si="1"/>
        <v>0</v>
      </c>
      <c r="I46" s="92"/>
      <c r="J46" s="28"/>
      <c r="K46" s="28"/>
      <c r="L46" s="29"/>
      <c r="M46" s="45">
        <f t="shared" si="2"/>
        <v>0</v>
      </c>
      <c r="O46" s="92"/>
      <c r="P46" s="28"/>
      <c r="Q46" s="28"/>
      <c r="R46" s="29"/>
      <c r="S46" s="29">
        <f t="shared" si="6"/>
        <v>0</v>
      </c>
      <c r="T46" s="40">
        <f t="shared" si="4"/>
        <v>0</v>
      </c>
      <c r="U46" s="45">
        <f t="shared" si="5"/>
        <v>0</v>
      </c>
      <c r="Y46" s="22" t="s">
        <v>142</v>
      </c>
      <c r="AA46" s="22" t="s">
        <v>142</v>
      </c>
    </row>
    <row r="47" spans="1:27" x14ac:dyDescent="0.25">
      <c r="A47" s="27"/>
      <c r="B47" s="28"/>
      <c r="C47" s="28"/>
      <c r="D47" s="28"/>
      <c r="E47" s="28"/>
      <c r="F47" s="41">
        <f t="shared" si="0"/>
        <v>0</v>
      </c>
      <c r="G47" s="42">
        <f t="shared" si="1"/>
        <v>0</v>
      </c>
      <c r="I47" s="92"/>
      <c r="J47" s="28"/>
      <c r="K47" s="28"/>
      <c r="L47" s="29"/>
      <c r="M47" s="45">
        <f t="shared" si="2"/>
        <v>0</v>
      </c>
      <c r="O47" s="92"/>
      <c r="P47" s="28"/>
      <c r="Q47" s="28"/>
      <c r="R47" s="29"/>
      <c r="S47" s="29">
        <f t="shared" si="6"/>
        <v>0</v>
      </c>
      <c r="T47" s="40">
        <f t="shared" ref="T47:T52" si="12">R47*S47</f>
        <v>0</v>
      </c>
      <c r="U47" s="45">
        <f t="shared" si="5"/>
        <v>0</v>
      </c>
    </row>
    <row r="48" spans="1:27" x14ac:dyDescent="0.25">
      <c r="A48" s="27"/>
      <c r="B48" s="28"/>
      <c r="C48" s="28"/>
      <c r="D48" s="28"/>
      <c r="E48" s="28"/>
      <c r="F48" s="41">
        <f t="shared" si="0"/>
        <v>0</v>
      </c>
      <c r="G48" s="42">
        <f t="shared" si="1"/>
        <v>0</v>
      </c>
      <c r="I48" s="92"/>
      <c r="J48" s="28"/>
      <c r="K48" s="28"/>
      <c r="L48" s="29"/>
      <c r="M48" s="45">
        <f t="shared" si="2"/>
        <v>0</v>
      </c>
      <c r="O48" s="92"/>
      <c r="P48" s="28"/>
      <c r="Q48" s="28"/>
      <c r="R48" s="29"/>
      <c r="S48" s="29">
        <f t="shared" si="6"/>
        <v>0</v>
      </c>
      <c r="T48" s="40">
        <f t="shared" si="12"/>
        <v>0</v>
      </c>
      <c r="U48" s="45">
        <f t="shared" si="5"/>
        <v>0</v>
      </c>
    </row>
    <row r="49" spans="1:21" x14ac:dyDescent="0.25">
      <c r="A49" s="27"/>
      <c r="B49" s="28"/>
      <c r="C49" s="28"/>
      <c r="D49" s="28"/>
      <c r="E49" s="28"/>
      <c r="F49" s="41">
        <f t="shared" si="0"/>
        <v>0</v>
      </c>
      <c r="G49" s="42">
        <f t="shared" si="1"/>
        <v>0</v>
      </c>
      <c r="I49" s="92"/>
      <c r="J49" s="28"/>
      <c r="K49" s="28"/>
      <c r="L49" s="29"/>
      <c r="M49" s="45">
        <f t="shared" si="2"/>
        <v>0</v>
      </c>
      <c r="O49" s="92"/>
      <c r="P49" s="28"/>
      <c r="Q49" s="28"/>
      <c r="R49" s="29"/>
      <c r="S49" s="29">
        <f t="shared" si="6"/>
        <v>0</v>
      </c>
      <c r="T49" s="40">
        <f t="shared" si="12"/>
        <v>0</v>
      </c>
      <c r="U49" s="45">
        <f t="shared" si="5"/>
        <v>0</v>
      </c>
    </row>
    <row r="50" spans="1:21" x14ac:dyDescent="0.25">
      <c r="A50" s="27"/>
      <c r="B50" s="28"/>
      <c r="C50" s="28"/>
      <c r="D50" s="28"/>
      <c r="E50" s="28"/>
      <c r="F50" s="41">
        <f t="shared" si="0"/>
        <v>0</v>
      </c>
      <c r="G50" s="42">
        <f t="shared" si="1"/>
        <v>0</v>
      </c>
      <c r="I50" s="92"/>
      <c r="J50" s="28"/>
      <c r="K50" s="28"/>
      <c r="L50" s="29"/>
      <c r="M50" s="45">
        <f t="shared" si="2"/>
        <v>0</v>
      </c>
      <c r="O50" s="145"/>
      <c r="P50" s="28"/>
      <c r="Q50" s="28"/>
      <c r="R50" s="29"/>
      <c r="S50" s="29">
        <f t="shared" si="6"/>
        <v>0</v>
      </c>
      <c r="T50" s="40">
        <f t="shared" si="12"/>
        <v>0</v>
      </c>
      <c r="U50" s="45">
        <f t="shared" si="5"/>
        <v>0</v>
      </c>
    </row>
    <row r="51" spans="1:21" x14ac:dyDescent="0.25">
      <c r="A51" s="27"/>
      <c r="B51" s="28"/>
      <c r="C51" s="28"/>
      <c r="D51" s="28"/>
      <c r="E51" s="28"/>
      <c r="F51" s="41">
        <f t="shared" si="0"/>
        <v>0</v>
      </c>
      <c r="G51" s="42">
        <f t="shared" si="1"/>
        <v>0</v>
      </c>
      <c r="I51" s="92"/>
      <c r="J51" s="28"/>
      <c r="K51" s="28"/>
      <c r="L51" s="29"/>
      <c r="M51" s="45">
        <f t="shared" si="2"/>
        <v>0</v>
      </c>
      <c r="O51" s="145"/>
      <c r="P51" s="28"/>
      <c r="Q51" s="28"/>
      <c r="R51" s="29"/>
      <c r="S51" s="29">
        <f t="shared" si="6"/>
        <v>0</v>
      </c>
      <c r="T51" s="40">
        <f t="shared" si="12"/>
        <v>0</v>
      </c>
      <c r="U51" s="45">
        <f t="shared" si="5"/>
        <v>0</v>
      </c>
    </row>
    <row r="52" spans="1:21" x14ac:dyDescent="0.25">
      <c r="A52" s="27"/>
      <c r="B52" s="28"/>
      <c r="C52" s="28"/>
      <c r="D52" s="28"/>
      <c r="E52" s="28"/>
      <c r="F52" s="41">
        <f t="shared" si="0"/>
        <v>0</v>
      </c>
      <c r="G52" s="42">
        <f t="shared" si="1"/>
        <v>0</v>
      </c>
      <c r="I52" s="92"/>
      <c r="J52" s="28"/>
      <c r="K52" s="28"/>
      <c r="L52" s="29"/>
      <c r="M52" s="45">
        <f t="shared" si="2"/>
        <v>0</v>
      </c>
      <c r="O52" s="92"/>
      <c r="P52" s="28"/>
      <c r="Q52" s="28"/>
      <c r="R52" s="29"/>
      <c r="S52" s="29">
        <f t="shared" si="6"/>
        <v>0</v>
      </c>
      <c r="T52" s="40">
        <f t="shared" si="12"/>
        <v>0</v>
      </c>
      <c r="U52" s="45">
        <f t="shared" si="5"/>
        <v>0</v>
      </c>
    </row>
    <row r="53" spans="1:21" x14ac:dyDescent="0.25">
      <c r="A53" s="27"/>
      <c r="B53" s="28"/>
      <c r="C53" s="28"/>
      <c r="D53" s="28"/>
      <c r="E53" s="28"/>
      <c r="F53" s="41">
        <f t="shared" si="0"/>
        <v>0</v>
      </c>
      <c r="G53" s="42">
        <f t="shared" si="1"/>
        <v>0</v>
      </c>
      <c r="I53" s="92"/>
      <c r="J53" s="28"/>
      <c r="K53" s="28"/>
      <c r="L53" s="29"/>
      <c r="M53" s="45">
        <f t="shared" si="2"/>
        <v>0</v>
      </c>
      <c r="O53" s="92"/>
      <c r="P53" s="28"/>
      <c r="Q53" s="28"/>
      <c r="R53" s="29"/>
      <c r="S53" s="29">
        <f t="shared" si="6"/>
        <v>0</v>
      </c>
      <c r="T53" s="40">
        <f t="shared" si="4"/>
        <v>0</v>
      </c>
      <c r="U53" s="45">
        <f t="shared" si="5"/>
        <v>0</v>
      </c>
    </row>
    <row r="54" spans="1:21" x14ac:dyDescent="0.25">
      <c r="A54" s="27"/>
      <c r="B54" s="28"/>
      <c r="C54" s="28"/>
      <c r="D54" s="28"/>
      <c r="E54" s="28"/>
      <c r="F54" s="41">
        <f t="shared" si="0"/>
        <v>0</v>
      </c>
      <c r="G54" s="42">
        <f t="shared" si="1"/>
        <v>0</v>
      </c>
      <c r="I54" s="92"/>
      <c r="J54" s="28"/>
      <c r="K54" s="28"/>
      <c r="L54" s="29"/>
      <c r="M54" s="45">
        <f t="shared" si="2"/>
        <v>0</v>
      </c>
      <c r="O54" s="92"/>
      <c r="P54" s="28"/>
      <c r="Q54" s="28"/>
      <c r="R54" s="29"/>
      <c r="S54" s="29">
        <f t="shared" si="6"/>
        <v>0</v>
      </c>
      <c r="T54" s="40">
        <f>R54*S54</f>
        <v>0</v>
      </c>
      <c r="U54" s="45">
        <f t="shared" si="5"/>
        <v>0</v>
      </c>
    </row>
    <row r="55" spans="1:21" x14ac:dyDescent="0.25">
      <c r="A55" s="27"/>
      <c r="B55" s="28"/>
      <c r="C55" s="28"/>
      <c r="D55" s="28"/>
      <c r="E55" s="28"/>
      <c r="F55" s="41">
        <f t="shared" si="0"/>
        <v>0</v>
      </c>
      <c r="G55" s="42">
        <f t="shared" si="1"/>
        <v>0</v>
      </c>
      <c r="I55" s="92"/>
      <c r="J55" s="28"/>
      <c r="K55" s="28"/>
      <c r="L55" s="29"/>
      <c r="M55" s="45">
        <f t="shared" si="2"/>
        <v>0</v>
      </c>
      <c r="O55" s="92"/>
      <c r="P55" s="28"/>
      <c r="Q55" s="28"/>
      <c r="R55" s="29"/>
      <c r="S55" s="29">
        <f t="shared" si="6"/>
        <v>0</v>
      </c>
      <c r="T55" s="40">
        <f t="shared" si="4"/>
        <v>0</v>
      </c>
      <c r="U55" s="45">
        <f t="shared" si="5"/>
        <v>0</v>
      </c>
    </row>
    <row r="56" spans="1:21" ht="15.75" thickBot="1" x14ac:dyDescent="0.3">
      <c r="A56" s="30"/>
      <c r="B56" s="31"/>
      <c r="C56" s="31"/>
      <c r="D56" s="31"/>
      <c r="E56" s="31"/>
      <c r="F56" s="43">
        <f t="shared" si="0"/>
        <v>0</v>
      </c>
      <c r="G56" s="44">
        <f t="shared" si="1"/>
        <v>0</v>
      </c>
      <c r="I56" s="136"/>
      <c r="J56" s="31"/>
      <c r="K56" s="31"/>
      <c r="L56" s="90"/>
      <c r="M56" s="47">
        <f t="shared" si="2"/>
        <v>0</v>
      </c>
      <c r="O56" s="136"/>
      <c r="P56" s="31"/>
      <c r="Q56" s="31"/>
      <c r="R56" s="90"/>
      <c r="S56" s="90">
        <f t="shared" si="6"/>
        <v>0</v>
      </c>
      <c r="T56" s="46">
        <f t="shared" si="4"/>
        <v>0</v>
      </c>
      <c r="U56" s="47">
        <f t="shared" si="5"/>
        <v>0</v>
      </c>
    </row>
    <row r="57" spans="1:21" x14ac:dyDescent="0.25">
      <c r="I57" s="137"/>
      <c r="O57" s="137"/>
    </row>
    <row r="58" spans="1:21" x14ac:dyDescent="0.25">
      <c r="I58" s="137"/>
      <c r="O58" s="137"/>
    </row>
    <row r="59" spans="1:21" x14ac:dyDescent="0.25">
      <c r="I59" s="137"/>
      <c r="O59" s="137"/>
    </row>
    <row r="60" spans="1:21" x14ac:dyDescent="0.25">
      <c r="I60" s="137"/>
      <c r="O60" s="137"/>
    </row>
    <row r="61" spans="1:21" x14ac:dyDescent="0.25">
      <c r="I61" s="137"/>
      <c r="O61" s="137"/>
    </row>
    <row r="62" spans="1:21" x14ac:dyDescent="0.25">
      <c r="I62" s="137"/>
      <c r="O62" s="137"/>
    </row>
    <row r="63" spans="1:21" x14ac:dyDescent="0.25">
      <c r="I63" s="137"/>
      <c r="O63" s="137"/>
    </row>
    <row r="64" spans="1:21" x14ac:dyDescent="0.25">
      <c r="I64" s="137"/>
      <c r="O64" s="137"/>
    </row>
    <row r="65" spans="9:15" x14ac:dyDescent="0.25">
      <c r="I65" s="137"/>
      <c r="O65" s="137"/>
    </row>
    <row r="66" spans="9:15" x14ac:dyDescent="0.25">
      <c r="I66" s="137"/>
      <c r="O66" s="137"/>
    </row>
    <row r="67" spans="9:15" x14ac:dyDescent="0.25">
      <c r="I67" s="137"/>
      <c r="O67" s="137"/>
    </row>
    <row r="68" spans="9:15" x14ac:dyDescent="0.25">
      <c r="I68" s="137"/>
      <c r="O68" s="137"/>
    </row>
    <row r="69" spans="9:15" x14ac:dyDescent="0.25">
      <c r="I69" s="137"/>
      <c r="O69" s="137"/>
    </row>
    <row r="70" spans="9:15" x14ac:dyDescent="0.25">
      <c r="I70" s="137"/>
      <c r="O70" s="137"/>
    </row>
    <row r="71" spans="9:15" x14ac:dyDescent="0.25">
      <c r="I71" s="137"/>
      <c r="O71" s="137"/>
    </row>
    <row r="72" spans="9:15" x14ac:dyDescent="0.25">
      <c r="I72" s="137"/>
      <c r="O72" s="137"/>
    </row>
    <row r="73" spans="9:15" x14ac:dyDescent="0.25">
      <c r="I73" s="137"/>
      <c r="O73" s="137"/>
    </row>
    <row r="74" spans="9:15" x14ac:dyDescent="0.25">
      <c r="I74" s="137"/>
      <c r="O74" s="137"/>
    </row>
    <row r="75" spans="9:15" x14ac:dyDescent="0.25">
      <c r="I75" s="137"/>
      <c r="O75" s="137"/>
    </row>
    <row r="76" spans="9:15" x14ac:dyDescent="0.25">
      <c r="I76" s="137"/>
      <c r="O76" s="137"/>
    </row>
    <row r="77" spans="9:15" x14ac:dyDescent="0.25">
      <c r="I77" s="137"/>
      <c r="O77" s="137"/>
    </row>
    <row r="78" spans="9:15" x14ac:dyDescent="0.25">
      <c r="I78" s="137"/>
      <c r="O78" s="137"/>
    </row>
    <row r="79" spans="9:15" x14ac:dyDescent="0.25">
      <c r="I79" s="137"/>
      <c r="O79" s="137"/>
    </row>
    <row r="80" spans="9:15" x14ac:dyDescent="0.25">
      <c r="I80" s="137"/>
      <c r="O80" s="137"/>
    </row>
    <row r="81" spans="9:15" x14ac:dyDescent="0.25">
      <c r="I81" s="137"/>
      <c r="O81" s="137"/>
    </row>
    <row r="82" spans="9:15" x14ac:dyDescent="0.25">
      <c r="I82" s="137"/>
      <c r="O82" s="137"/>
    </row>
    <row r="83" spans="9:15" x14ac:dyDescent="0.25">
      <c r="I83" s="137"/>
    </row>
    <row r="84" spans="9:15" x14ac:dyDescent="0.25">
      <c r="I84" s="137"/>
    </row>
    <row r="85" spans="9:15" x14ac:dyDescent="0.25">
      <c r="I85" s="137"/>
    </row>
    <row r="86" spans="9:15" x14ac:dyDescent="0.25">
      <c r="I86" s="137"/>
    </row>
    <row r="87" spans="9:15" x14ac:dyDescent="0.25">
      <c r="I87" s="137"/>
    </row>
    <row r="88" spans="9:15" x14ac:dyDescent="0.25">
      <c r="I88" s="137"/>
    </row>
    <row r="89" spans="9:15" x14ac:dyDescent="0.25">
      <c r="I89" s="137"/>
    </row>
    <row r="90" spans="9:15" x14ac:dyDescent="0.25">
      <c r="I90" s="137"/>
    </row>
    <row r="91" spans="9:15" x14ac:dyDescent="0.25">
      <c r="I91" s="137"/>
    </row>
    <row r="92" spans="9:15" x14ac:dyDescent="0.25">
      <c r="I92" s="137"/>
    </row>
    <row r="93" spans="9:15" x14ac:dyDescent="0.25">
      <c r="I93" s="137"/>
    </row>
    <row r="94" spans="9:15" x14ac:dyDescent="0.25">
      <c r="I94" s="137"/>
    </row>
    <row r="95" spans="9:15" x14ac:dyDescent="0.25">
      <c r="I95" s="137"/>
    </row>
    <row r="96" spans="9:15" x14ac:dyDescent="0.25">
      <c r="I96" s="137"/>
    </row>
    <row r="97" spans="9:9" x14ac:dyDescent="0.25">
      <c r="I97" s="137"/>
    </row>
    <row r="98" spans="9:9" x14ac:dyDescent="0.25">
      <c r="I98" s="137"/>
    </row>
    <row r="99" spans="9:9" x14ac:dyDescent="0.25">
      <c r="I99" s="137"/>
    </row>
    <row r="100" spans="9:9" x14ac:dyDescent="0.25">
      <c r="I100" s="137"/>
    </row>
    <row r="101" spans="9:9" x14ac:dyDescent="0.25">
      <c r="I101" s="137"/>
    </row>
    <row r="102" spans="9:9" x14ac:dyDescent="0.25">
      <c r="I102" s="137"/>
    </row>
    <row r="103" spans="9:9" x14ac:dyDescent="0.25">
      <c r="I103" s="137"/>
    </row>
    <row r="104" spans="9:9" x14ac:dyDescent="0.25">
      <c r="I104" s="137"/>
    </row>
    <row r="105" spans="9:9" x14ac:dyDescent="0.25">
      <c r="I105" s="137"/>
    </row>
    <row r="106" spans="9:9" x14ac:dyDescent="0.25">
      <c r="I106" s="137"/>
    </row>
    <row r="107" spans="9:9" x14ac:dyDescent="0.25">
      <c r="I107" s="137"/>
    </row>
    <row r="108" spans="9:9" x14ac:dyDescent="0.25">
      <c r="I108" s="137"/>
    </row>
    <row r="109" spans="9:9" x14ac:dyDescent="0.25">
      <c r="I109" s="137"/>
    </row>
    <row r="110" spans="9:9" x14ac:dyDescent="0.25">
      <c r="I110" s="137"/>
    </row>
    <row r="111" spans="9:9" x14ac:dyDescent="0.25">
      <c r="I111" s="137"/>
    </row>
    <row r="112" spans="9:9" x14ac:dyDescent="0.25">
      <c r="I112" s="137"/>
    </row>
    <row r="113" spans="9:9" x14ac:dyDescent="0.25">
      <c r="I113" s="137"/>
    </row>
    <row r="114" spans="9:9" x14ac:dyDescent="0.25">
      <c r="I114" s="137"/>
    </row>
    <row r="115" spans="9:9" x14ac:dyDescent="0.25">
      <c r="I115" s="137"/>
    </row>
    <row r="116" spans="9:9" x14ac:dyDescent="0.25">
      <c r="I116" s="137"/>
    </row>
    <row r="117" spans="9:9" x14ac:dyDescent="0.25">
      <c r="I117" s="137"/>
    </row>
    <row r="118" spans="9:9" x14ac:dyDescent="0.25">
      <c r="I118" s="137"/>
    </row>
    <row r="119" spans="9:9" x14ac:dyDescent="0.25">
      <c r="I119" s="137"/>
    </row>
    <row r="120" spans="9:9" x14ac:dyDescent="0.25">
      <c r="I120" s="137"/>
    </row>
    <row r="121" spans="9:9" x14ac:dyDescent="0.25">
      <c r="I121" s="137"/>
    </row>
    <row r="122" spans="9:9" x14ac:dyDescent="0.25">
      <c r="I122" s="137"/>
    </row>
    <row r="123" spans="9:9" x14ac:dyDescent="0.25">
      <c r="I123" s="137"/>
    </row>
    <row r="124" spans="9:9" x14ac:dyDescent="0.25">
      <c r="I124" s="137"/>
    </row>
    <row r="125" spans="9:9" x14ac:dyDescent="0.25">
      <c r="I125" s="137"/>
    </row>
    <row r="126" spans="9:9" x14ac:dyDescent="0.25">
      <c r="I126" s="137"/>
    </row>
    <row r="127" spans="9:9" x14ac:dyDescent="0.25">
      <c r="I127" s="137"/>
    </row>
    <row r="128" spans="9:9" x14ac:dyDescent="0.25">
      <c r="I128" s="137"/>
    </row>
    <row r="129" spans="9:9" x14ac:dyDescent="0.25">
      <c r="I129" s="137"/>
    </row>
    <row r="130" spans="9:9" x14ac:dyDescent="0.25">
      <c r="I130" s="137"/>
    </row>
    <row r="131" spans="9:9" x14ac:dyDescent="0.25">
      <c r="I131" s="137"/>
    </row>
    <row r="132" spans="9:9" x14ac:dyDescent="0.25">
      <c r="I132" s="137"/>
    </row>
    <row r="133" spans="9:9" x14ac:dyDescent="0.25">
      <c r="I133" s="137"/>
    </row>
    <row r="134" spans="9:9" x14ac:dyDescent="0.25">
      <c r="I134" s="137"/>
    </row>
    <row r="135" spans="9:9" x14ac:dyDescent="0.25">
      <c r="I135" s="137"/>
    </row>
    <row r="136" spans="9:9" x14ac:dyDescent="0.25">
      <c r="I136" s="137"/>
    </row>
    <row r="137" spans="9:9" x14ac:dyDescent="0.25">
      <c r="I137" s="137"/>
    </row>
    <row r="138" spans="9:9" x14ac:dyDescent="0.25">
      <c r="I138" s="137"/>
    </row>
    <row r="139" spans="9:9" x14ac:dyDescent="0.25">
      <c r="I139" s="137"/>
    </row>
    <row r="140" spans="9:9" x14ac:dyDescent="0.25">
      <c r="I140" s="137"/>
    </row>
    <row r="141" spans="9:9" x14ac:dyDescent="0.25">
      <c r="I141" s="137"/>
    </row>
    <row r="142" spans="9:9" x14ac:dyDescent="0.25">
      <c r="I142" s="137"/>
    </row>
    <row r="143" spans="9:9" x14ac:dyDescent="0.25">
      <c r="I143" s="137"/>
    </row>
    <row r="144" spans="9:9" x14ac:dyDescent="0.25">
      <c r="I144" s="137"/>
    </row>
    <row r="145" spans="9:9" x14ac:dyDescent="0.25">
      <c r="I145" s="137"/>
    </row>
    <row r="146" spans="9:9" x14ac:dyDescent="0.25">
      <c r="I146" s="137"/>
    </row>
    <row r="180" spans="9:15" x14ac:dyDescent="0.25">
      <c r="O180" s="137"/>
    </row>
    <row r="181" spans="9:15" x14ac:dyDescent="0.25">
      <c r="I181" s="137"/>
      <c r="L181" s="138"/>
    </row>
    <row r="236" spans="9:15" x14ac:dyDescent="0.25">
      <c r="O236" s="137"/>
    </row>
    <row r="237" spans="9:15" x14ac:dyDescent="0.25">
      <c r="I237" s="137"/>
      <c r="L237" s="138"/>
    </row>
    <row r="344" spans="9:15" x14ac:dyDescent="0.25">
      <c r="O344" s="137"/>
    </row>
    <row r="345" spans="9:15" x14ac:dyDescent="0.25">
      <c r="I345" s="137"/>
      <c r="L345" s="138"/>
    </row>
    <row r="447" spans="9:15" x14ac:dyDescent="0.25">
      <c r="O447" s="137"/>
    </row>
    <row r="448" spans="9:15" x14ac:dyDescent="0.25">
      <c r="I448" s="137"/>
      <c r="L448" s="138"/>
    </row>
  </sheetData>
  <mergeCells count="4">
    <mergeCell ref="W4:AA4"/>
    <mergeCell ref="W21:AA21"/>
    <mergeCell ref="W16:AA16"/>
    <mergeCell ref="W34:AA34"/>
  </mergeCells>
  <dataValidations count="2">
    <dataValidation type="list" allowBlank="1" showInputMessage="1" showErrorMessage="1" sqref="Q4:Q56">
      <formula1>$AF$4:$AF$10</formula1>
    </dataValidation>
    <dataValidation type="list" allowBlank="1" showInputMessage="1" showErrorMessage="1" sqref="P4:P56 B4:B56 J4:J56">
      <formula1>$AH$4:$AH$8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ClearEvents">
                <anchor moveWithCells="1" sizeWithCells="1">
                  <from>
                    <xdr:col>22</xdr:col>
                    <xdr:colOff>28575</xdr:colOff>
                    <xdr:row>0</xdr:row>
                    <xdr:rowOff>38100</xdr:rowOff>
                  </from>
                  <to>
                    <xdr:col>23</xdr:col>
                    <xdr:colOff>619125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8" sqref="C18"/>
    </sheetView>
  </sheetViews>
  <sheetFormatPr defaultRowHeight="15" x14ac:dyDescent="0.25"/>
  <cols>
    <col min="1" max="1" width="10.42578125" customWidth="1"/>
    <col min="2" max="2" width="16" customWidth="1"/>
    <col min="3" max="3" width="11.42578125" customWidth="1"/>
    <col min="4" max="4" width="7.5703125" customWidth="1"/>
    <col min="5" max="5" width="7.85546875" customWidth="1"/>
    <col min="8" max="8" width="10.7109375" bestFit="1" customWidth="1"/>
  </cols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">
                <anchor moveWithCells="1" sizeWithCells="1">
                  <from>
                    <xdr:col>11</xdr:col>
                    <xdr:colOff>19050</xdr:colOff>
                    <xdr:row>4</xdr:row>
                    <xdr:rowOff>9525</xdr:rowOff>
                  </from>
                  <to>
                    <xdr:col>13</xdr:col>
                    <xdr:colOff>590550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ButtonCommentpad">
                <anchor moveWithCells="1" sizeWithCells="1">
                  <from>
                    <xdr:col>13</xdr:col>
                    <xdr:colOff>28575</xdr:colOff>
                    <xdr:row>11</xdr:row>
                    <xdr:rowOff>9525</xdr:rowOff>
                  </from>
                  <to>
                    <xdr:col>16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CommentPad">
                <anchor moveWithCells="1" sizeWithCells="1">
                  <from>
                    <xdr:col>15</xdr:col>
                    <xdr:colOff>19050</xdr:colOff>
                    <xdr:row>4</xdr:row>
                    <xdr:rowOff>9525</xdr:rowOff>
                  </from>
                  <to>
                    <xdr:col>17</xdr:col>
                    <xdr:colOff>600075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J2:J22"/>
  <sheetViews>
    <sheetView workbookViewId="0">
      <selection activeCell="L19" sqref="L19"/>
    </sheetView>
  </sheetViews>
  <sheetFormatPr defaultRowHeight="15" x14ac:dyDescent="0.25"/>
  <cols>
    <col min="10" max="10" width="9.7109375" bestFit="1" customWidth="1"/>
  </cols>
  <sheetData>
    <row r="2" spans="10:10" ht="15.75" customHeight="1" x14ac:dyDescent="0.25">
      <c r="J2" s="137"/>
    </row>
    <row r="3" spans="10:10" x14ac:dyDescent="0.25">
      <c r="J3" s="137"/>
    </row>
    <row r="4" spans="10:10" x14ac:dyDescent="0.25">
      <c r="J4" s="137"/>
    </row>
    <row r="5" spans="10:10" x14ac:dyDescent="0.25">
      <c r="J5" s="137"/>
    </row>
    <row r="6" spans="10:10" x14ac:dyDescent="0.25">
      <c r="J6" s="137"/>
    </row>
    <row r="7" spans="10:10" x14ac:dyDescent="0.25">
      <c r="J7" s="137"/>
    </row>
    <row r="8" spans="10:10" x14ac:dyDescent="0.25">
      <c r="J8" s="137"/>
    </row>
    <row r="9" spans="10:10" x14ac:dyDescent="0.25">
      <c r="J9" s="137"/>
    </row>
    <row r="10" spans="10:10" x14ac:dyDescent="0.25">
      <c r="J10" s="137"/>
    </row>
    <row r="11" spans="10:10" x14ac:dyDescent="0.25">
      <c r="J11" s="137"/>
    </row>
    <row r="12" spans="10:10" ht="15.75" customHeight="1" x14ac:dyDescent="0.25">
      <c r="J12" s="137"/>
    </row>
    <row r="13" spans="10:10" x14ac:dyDescent="0.25">
      <c r="J13" s="137"/>
    </row>
    <row r="14" spans="10:10" x14ac:dyDescent="0.25">
      <c r="J14" s="137"/>
    </row>
    <row r="15" spans="10:10" x14ac:dyDescent="0.25">
      <c r="J15" s="137"/>
    </row>
    <row r="16" spans="10:10" x14ac:dyDescent="0.25">
      <c r="J16" s="137"/>
    </row>
    <row r="17" spans="10:10" x14ac:dyDescent="0.25">
      <c r="J17" s="137"/>
    </row>
    <row r="18" spans="10:10" x14ac:dyDescent="0.25">
      <c r="J18" s="137"/>
    </row>
    <row r="19" spans="10:10" x14ac:dyDescent="0.25">
      <c r="J19" s="137"/>
    </row>
    <row r="20" spans="10:10" x14ac:dyDescent="0.25">
      <c r="J20" s="137"/>
    </row>
    <row r="21" spans="10:10" x14ac:dyDescent="0.25">
      <c r="J21" s="137"/>
    </row>
    <row r="22" spans="10:10" x14ac:dyDescent="0.25">
      <c r="J22" s="13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499984740745262"/>
  </sheetPr>
  <dimension ref="A1:B2270"/>
  <sheetViews>
    <sheetView workbookViewId="0">
      <selection activeCell="F11" sqref="F11"/>
    </sheetView>
  </sheetViews>
  <sheetFormatPr defaultRowHeight="15" x14ac:dyDescent="0.25"/>
  <cols>
    <col min="1" max="1" width="17.140625" customWidth="1"/>
  </cols>
  <sheetData>
    <row r="1" spans="1:2" x14ac:dyDescent="0.25">
      <c r="A1" t="s">
        <v>212</v>
      </c>
      <c r="B1" t="s">
        <v>104</v>
      </c>
    </row>
    <row r="2" spans="1:2" x14ac:dyDescent="0.25">
      <c r="A2" t="s">
        <v>213</v>
      </c>
      <c r="B2" t="s">
        <v>125</v>
      </c>
    </row>
    <row r="3" spans="1:2" x14ac:dyDescent="0.25">
      <c r="A3" t="s">
        <v>214</v>
      </c>
      <c r="B3" t="s">
        <v>125</v>
      </c>
    </row>
    <row r="4" spans="1:2" x14ac:dyDescent="0.25">
      <c r="A4" t="s">
        <v>215</v>
      </c>
      <c r="B4" t="s">
        <v>125</v>
      </c>
    </row>
    <row r="5" spans="1:2" x14ac:dyDescent="0.25">
      <c r="A5" t="s">
        <v>216</v>
      </c>
      <c r="B5" t="s">
        <v>125</v>
      </c>
    </row>
    <row r="6" spans="1:2" x14ac:dyDescent="0.25">
      <c r="A6" t="s">
        <v>217</v>
      </c>
      <c r="B6" t="s">
        <v>125</v>
      </c>
    </row>
    <row r="7" spans="1:2" x14ac:dyDescent="0.25">
      <c r="A7" t="s">
        <v>218</v>
      </c>
      <c r="B7" t="s">
        <v>125</v>
      </c>
    </row>
    <row r="8" spans="1:2" x14ac:dyDescent="0.25">
      <c r="A8" t="s">
        <v>219</v>
      </c>
      <c r="B8" t="s">
        <v>125</v>
      </c>
    </row>
    <row r="9" spans="1:2" x14ac:dyDescent="0.25">
      <c r="A9" t="s">
        <v>220</v>
      </c>
      <c r="B9" t="s">
        <v>125</v>
      </c>
    </row>
    <row r="10" spans="1:2" x14ac:dyDescent="0.25">
      <c r="A10" t="s">
        <v>221</v>
      </c>
      <c r="B10" t="s">
        <v>125</v>
      </c>
    </row>
    <row r="11" spans="1:2" x14ac:dyDescent="0.25">
      <c r="A11" t="s">
        <v>222</v>
      </c>
      <c r="B11" t="s">
        <v>125</v>
      </c>
    </row>
    <row r="12" spans="1:2" x14ac:dyDescent="0.25">
      <c r="A12" t="s">
        <v>223</v>
      </c>
      <c r="B12" t="s">
        <v>125</v>
      </c>
    </row>
    <row r="13" spans="1:2" x14ac:dyDescent="0.25">
      <c r="A13" t="s">
        <v>224</v>
      </c>
      <c r="B13" t="s">
        <v>125</v>
      </c>
    </row>
    <row r="14" spans="1:2" x14ac:dyDescent="0.25">
      <c r="A14" t="s">
        <v>225</v>
      </c>
      <c r="B14" t="s">
        <v>125</v>
      </c>
    </row>
    <row r="15" spans="1:2" x14ac:dyDescent="0.25">
      <c r="A15" t="s">
        <v>226</v>
      </c>
      <c r="B15" t="s">
        <v>125</v>
      </c>
    </row>
    <row r="16" spans="1:2" x14ac:dyDescent="0.25">
      <c r="A16" t="s">
        <v>227</v>
      </c>
      <c r="B16" t="s">
        <v>125</v>
      </c>
    </row>
    <row r="17" spans="1:2" x14ac:dyDescent="0.25">
      <c r="A17" t="s">
        <v>173</v>
      </c>
      <c r="B17" t="s">
        <v>125</v>
      </c>
    </row>
    <row r="18" spans="1:2" x14ac:dyDescent="0.25">
      <c r="A18" t="s">
        <v>228</v>
      </c>
      <c r="B18" t="s">
        <v>125</v>
      </c>
    </row>
    <row r="19" spans="1:2" x14ac:dyDescent="0.25">
      <c r="A19" t="s">
        <v>229</v>
      </c>
      <c r="B19" t="s">
        <v>125</v>
      </c>
    </row>
    <row r="20" spans="1:2" x14ac:dyDescent="0.25">
      <c r="A20" t="s">
        <v>230</v>
      </c>
      <c r="B20" t="s">
        <v>125</v>
      </c>
    </row>
    <row r="21" spans="1:2" x14ac:dyDescent="0.25">
      <c r="A21" t="s">
        <v>231</v>
      </c>
      <c r="B21" t="s">
        <v>125</v>
      </c>
    </row>
    <row r="22" spans="1:2" x14ac:dyDescent="0.25">
      <c r="A22" t="s">
        <v>232</v>
      </c>
      <c r="B22" t="s">
        <v>125</v>
      </c>
    </row>
    <row r="23" spans="1:2" x14ac:dyDescent="0.25">
      <c r="A23" t="s">
        <v>233</v>
      </c>
      <c r="B23" t="s">
        <v>125</v>
      </c>
    </row>
    <row r="24" spans="1:2" x14ac:dyDescent="0.25">
      <c r="A24" t="s">
        <v>234</v>
      </c>
      <c r="B24" t="s">
        <v>125</v>
      </c>
    </row>
    <row r="25" spans="1:2" x14ac:dyDescent="0.25">
      <c r="A25" t="s">
        <v>235</v>
      </c>
      <c r="B25" t="s">
        <v>125</v>
      </c>
    </row>
    <row r="26" spans="1:2" x14ac:dyDescent="0.25">
      <c r="A26" t="s">
        <v>236</v>
      </c>
      <c r="B26" t="s">
        <v>125</v>
      </c>
    </row>
    <row r="27" spans="1:2" x14ac:dyDescent="0.25">
      <c r="A27" t="s">
        <v>237</v>
      </c>
      <c r="B27" t="s">
        <v>125</v>
      </c>
    </row>
    <row r="28" spans="1:2" x14ac:dyDescent="0.25">
      <c r="A28" t="s">
        <v>238</v>
      </c>
      <c r="B28" t="s">
        <v>125</v>
      </c>
    </row>
    <row r="29" spans="1:2" x14ac:dyDescent="0.25">
      <c r="A29" t="s">
        <v>239</v>
      </c>
      <c r="B29" t="s">
        <v>125</v>
      </c>
    </row>
    <row r="30" spans="1:2" x14ac:dyDescent="0.25">
      <c r="A30" t="s">
        <v>240</v>
      </c>
      <c r="B30" t="s">
        <v>125</v>
      </c>
    </row>
    <row r="31" spans="1:2" x14ac:dyDescent="0.25">
      <c r="A31" t="s">
        <v>241</v>
      </c>
      <c r="B31" t="s">
        <v>125</v>
      </c>
    </row>
    <row r="32" spans="1:2" x14ac:dyDescent="0.25">
      <c r="A32" t="s">
        <v>242</v>
      </c>
      <c r="B32" t="s">
        <v>125</v>
      </c>
    </row>
    <row r="33" spans="1:2" x14ac:dyDescent="0.25">
      <c r="A33" t="s">
        <v>243</v>
      </c>
      <c r="B33" t="s">
        <v>125</v>
      </c>
    </row>
    <row r="34" spans="1:2" x14ac:dyDescent="0.25">
      <c r="A34" t="s">
        <v>244</v>
      </c>
      <c r="B34" t="s">
        <v>125</v>
      </c>
    </row>
    <row r="35" spans="1:2" x14ac:dyDescent="0.25">
      <c r="A35" t="s">
        <v>245</v>
      </c>
      <c r="B35" t="s">
        <v>125</v>
      </c>
    </row>
    <row r="36" spans="1:2" x14ac:dyDescent="0.25">
      <c r="A36" t="s">
        <v>181</v>
      </c>
      <c r="B36" t="s">
        <v>125</v>
      </c>
    </row>
    <row r="37" spans="1:2" x14ac:dyDescent="0.25">
      <c r="A37" t="s">
        <v>246</v>
      </c>
      <c r="B37" t="s">
        <v>125</v>
      </c>
    </row>
    <row r="38" spans="1:2" x14ac:dyDescent="0.25">
      <c r="A38" t="s">
        <v>247</v>
      </c>
      <c r="B38" t="s">
        <v>125</v>
      </c>
    </row>
    <row r="39" spans="1:2" x14ac:dyDescent="0.25">
      <c r="A39" t="s">
        <v>248</v>
      </c>
      <c r="B39" t="s">
        <v>125</v>
      </c>
    </row>
    <row r="40" spans="1:2" x14ac:dyDescent="0.25">
      <c r="A40" t="s">
        <v>249</v>
      </c>
      <c r="B40" t="s">
        <v>125</v>
      </c>
    </row>
    <row r="41" spans="1:2" x14ac:dyDescent="0.25">
      <c r="A41" t="s">
        <v>250</v>
      </c>
      <c r="B41" t="s">
        <v>125</v>
      </c>
    </row>
    <row r="42" spans="1:2" x14ac:dyDescent="0.25">
      <c r="A42" t="s">
        <v>251</v>
      </c>
      <c r="B42" t="s">
        <v>125</v>
      </c>
    </row>
    <row r="43" spans="1:2" x14ac:dyDescent="0.25">
      <c r="A43" t="s">
        <v>252</v>
      </c>
      <c r="B43" t="s">
        <v>125</v>
      </c>
    </row>
    <row r="44" spans="1:2" x14ac:dyDescent="0.25">
      <c r="A44" t="s">
        <v>253</v>
      </c>
      <c r="B44" t="s">
        <v>125</v>
      </c>
    </row>
    <row r="45" spans="1:2" x14ac:dyDescent="0.25">
      <c r="A45" t="s">
        <v>254</v>
      </c>
      <c r="B45" t="s">
        <v>125</v>
      </c>
    </row>
    <row r="46" spans="1:2" x14ac:dyDescent="0.25">
      <c r="A46" t="s">
        <v>255</v>
      </c>
      <c r="B46" t="s">
        <v>125</v>
      </c>
    </row>
    <row r="47" spans="1:2" x14ac:dyDescent="0.25">
      <c r="A47" t="s">
        <v>256</v>
      </c>
      <c r="B47" t="s">
        <v>125</v>
      </c>
    </row>
    <row r="48" spans="1:2" x14ac:dyDescent="0.25">
      <c r="A48" t="s">
        <v>257</v>
      </c>
      <c r="B48" t="s">
        <v>125</v>
      </c>
    </row>
    <row r="49" spans="1:2" x14ac:dyDescent="0.25">
      <c r="A49" t="s">
        <v>258</v>
      </c>
      <c r="B49" t="s">
        <v>125</v>
      </c>
    </row>
    <row r="50" spans="1:2" x14ac:dyDescent="0.25">
      <c r="A50" t="s">
        <v>259</v>
      </c>
      <c r="B50" t="s">
        <v>125</v>
      </c>
    </row>
    <row r="51" spans="1:2" x14ac:dyDescent="0.25">
      <c r="A51" t="s">
        <v>260</v>
      </c>
      <c r="B51" t="s">
        <v>125</v>
      </c>
    </row>
    <row r="52" spans="1:2" x14ac:dyDescent="0.25">
      <c r="A52" t="s">
        <v>261</v>
      </c>
      <c r="B52" t="s">
        <v>125</v>
      </c>
    </row>
    <row r="53" spans="1:2" x14ac:dyDescent="0.25">
      <c r="A53" t="s">
        <v>262</v>
      </c>
      <c r="B53" t="s">
        <v>125</v>
      </c>
    </row>
    <row r="54" spans="1:2" x14ac:dyDescent="0.25">
      <c r="A54" t="s">
        <v>263</v>
      </c>
      <c r="B54" t="s">
        <v>125</v>
      </c>
    </row>
    <row r="55" spans="1:2" x14ac:dyDescent="0.25">
      <c r="A55" t="s">
        <v>264</v>
      </c>
      <c r="B55" t="s">
        <v>125</v>
      </c>
    </row>
    <row r="56" spans="1:2" x14ac:dyDescent="0.25">
      <c r="A56" t="s">
        <v>265</v>
      </c>
      <c r="B56" t="s">
        <v>125</v>
      </c>
    </row>
    <row r="57" spans="1:2" x14ac:dyDescent="0.25">
      <c r="A57" t="s">
        <v>266</v>
      </c>
      <c r="B57" t="s">
        <v>125</v>
      </c>
    </row>
    <row r="58" spans="1:2" x14ac:dyDescent="0.25">
      <c r="A58" t="s">
        <v>267</v>
      </c>
      <c r="B58" t="s">
        <v>125</v>
      </c>
    </row>
    <row r="59" spans="1:2" x14ac:dyDescent="0.25">
      <c r="A59" t="s">
        <v>268</v>
      </c>
      <c r="B59" t="s">
        <v>125</v>
      </c>
    </row>
    <row r="60" spans="1:2" x14ac:dyDescent="0.25">
      <c r="A60" t="s">
        <v>269</v>
      </c>
      <c r="B60" t="s">
        <v>125</v>
      </c>
    </row>
    <row r="61" spans="1:2" x14ac:dyDescent="0.25">
      <c r="A61" t="s">
        <v>270</v>
      </c>
      <c r="B61" t="s">
        <v>125</v>
      </c>
    </row>
    <row r="62" spans="1:2" x14ac:dyDescent="0.25">
      <c r="A62" t="s">
        <v>271</v>
      </c>
      <c r="B62" t="s">
        <v>125</v>
      </c>
    </row>
    <row r="63" spans="1:2" x14ac:dyDescent="0.25">
      <c r="A63" t="s">
        <v>272</v>
      </c>
      <c r="B63" t="s">
        <v>125</v>
      </c>
    </row>
    <row r="64" spans="1:2" x14ac:dyDescent="0.25">
      <c r="A64" t="s">
        <v>273</v>
      </c>
      <c r="B64" t="s">
        <v>125</v>
      </c>
    </row>
    <row r="65" spans="1:2" x14ac:dyDescent="0.25">
      <c r="A65" t="s">
        <v>274</v>
      </c>
      <c r="B65" t="s">
        <v>125</v>
      </c>
    </row>
    <row r="66" spans="1:2" x14ac:dyDescent="0.25">
      <c r="A66" t="s">
        <v>275</v>
      </c>
      <c r="B66" t="s">
        <v>125</v>
      </c>
    </row>
    <row r="67" spans="1:2" x14ac:dyDescent="0.25">
      <c r="A67" t="s">
        <v>276</v>
      </c>
      <c r="B67" t="s">
        <v>125</v>
      </c>
    </row>
    <row r="68" spans="1:2" x14ac:dyDescent="0.25">
      <c r="A68" t="s">
        <v>277</v>
      </c>
      <c r="B68" t="s">
        <v>125</v>
      </c>
    </row>
    <row r="69" spans="1:2" x14ac:dyDescent="0.25">
      <c r="A69" t="s">
        <v>278</v>
      </c>
      <c r="B69" t="s">
        <v>125</v>
      </c>
    </row>
    <row r="70" spans="1:2" x14ac:dyDescent="0.25">
      <c r="A70" t="s">
        <v>279</v>
      </c>
      <c r="B70" t="s">
        <v>125</v>
      </c>
    </row>
    <row r="71" spans="1:2" x14ac:dyDescent="0.25">
      <c r="A71" t="s">
        <v>280</v>
      </c>
      <c r="B71" t="s">
        <v>125</v>
      </c>
    </row>
    <row r="72" spans="1:2" x14ac:dyDescent="0.25">
      <c r="A72" t="s">
        <v>281</v>
      </c>
      <c r="B72" t="s">
        <v>125</v>
      </c>
    </row>
    <row r="73" spans="1:2" x14ac:dyDescent="0.25">
      <c r="A73" t="s">
        <v>282</v>
      </c>
      <c r="B73" t="s">
        <v>125</v>
      </c>
    </row>
    <row r="74" spans="1:2" x14ac:dyDescent="0.25">
      <c r="A74" t="s">
        <v>283</v>
      </c>
      <c r="B74" t="s">
        <v>125</v>
      </c>
    </row>
    <row r="75" spans="1:2" x14ac:dyDescent="0.25">
      <c r="A75" t="s">
        <v>284</v>
      </c>
      <c r="B75" t="s">
        <v>125</v>
      </c>
    </row>
    <row r="76" spans="1:2" x14ac:dyDescent="0.25">
      <c r="A76" t="s">
        <v>285</v>
      </c>
      <c r="B76" t="s">
        <v>125</v>
      </c>
    </row>
    <row r="77" spans="1:2" x14ac:dyDescent="0.25">
      <c r="A77" t="s">
        <v>286</v>
      </c>
      <c r="B77" t="s">
        <v>125</v>
      </c>
    </row>
    <row r="78" spans="1:2" x14ac:dyDescent="0.25">
      <c r="A78" t="s">
        <v>287</v>
      </c>
      <c r="B78" t="s">
        <v>125</v>
      </c>
    </row>
    <row r="79" spans="1:2" x14ac:dyDescent="0.25">
      <c r="A79" t="s">
        <v>288</v>
      </c>
      <c r="B79" t="s">
        <v>125</v>
      </c>
    </row>
    <row r="80" spans="1:2" x14ac:dyDescent="0.25">
      <c r="A80" t="s">
        <v>289</v>
      </c>
      <c r="B80" t="s">
        <v>125</v>
      </c>
    </row>
    <row r="81" spans="1:2" x14ac:dyDescent="0.25">
      <c r="A81" t="s">
        <v>290</v>
      </c>
      <c r="B81" t="s">
        <v>125</v>
      </c>
    </row>
    <row r="82" spans="1:2" x14ac:dyDescent="0.25">
      <c r="A82" t="s">
        <v>291</v>
      </c>
      <c r="B82" t="s">
        <v>125</v>
      </c>
    </row>
    <row r="83" spans="1:2" x14ac:dyDescent="0.25">
      <c r="A83" t="s">
        <v>292</v>
      </c>
      <c r="B83" t="s">
        <v>125</v>
      </c>
    </row>
    <row r="84" spans="1:2" x14ac:dyDescent="0.25">
      <c r="A84" t="s">
        <v>293</v>
      </c>
      <c r="B84" t="s">
        <v>125</v>
      </c>
    </row>
    <row r="85" spans="1:2" x14ac:dyDescent="0.25">
      <c r="A85" t="s">
        <v>294</v>
      </c>
      <c r="B85" t="s">
        <v>125</v>
      </c>
    </row>
    <row r="86" spans="1:2" x14ac:dyDescent="0.25">
      <c r="A86" t="s">
        <v>295</v>
      </c>
      <c r="B86" t="s">
        <v>125</v>
      </c>
    </row>
    <row r="87" spans="1:2" x14ac:dyDescent="0.25">
      <c r="A87" t="s">
        <v>296</v>
      </c>
      <c r="B87" t="s">
        <v>125</v>
      </c>
    </row>
    <row r="88" spans="1:2" x14ac:dyDescent="0.25">
      <c r="A88" t="s">
        <v>297</v>
      </c>
      <c r="B88" t="s">
        <v>125</v>
      </c>
    </row>
    <row r="89" spans="1:2" x14ac:dyDescent="0.25">
      <c r="A89" t="s">
        <v>298</v>
      </c>
      <c r="B89" t="s">
        <v>125</v>
      </c>
    </row>
    <row r="90" spans="1:2" x14ac:dyDescent="0.25">
      <c r="A90" t="s">
        <v>299</v>
      </c>
      <c r="B90" t="s">
        <v>125</v>
      </c>
    </row>
    <row r="91" spans="1:2" x14ac:dyDescent="0.25">
      <c r="A91" t="s">
        <v>300</v>
      </c>
      <c r="B91" t="s">
        <v>125</v>
      </c>
    </row>
    <row r="92" spans="1:2" x14ac:dyDescent="0.25">
      <c r="A92" t="s">
        <v>301</v>
      </c>
      <c r="B92" t="s">
        <v>125</v>
      </c>
    </row>
    <row r="93" spans="1:2" x14ac:dyDescent="0.25">
      <c r="A93" t="s">
        <v>302</v>
      </c>
      <c r="B93" t="s">
        <v>125</v>
      </c>
    </row>
    <row r="94" spans="1:2" x14ac:dyDescent="0.25">
      <c r="A94" t="s">
        <v>303</v>
      </c>
      <c r="B94" t="s">
        <v>125</v>
      </c>
    </row>
    <row r="95" spans="1:2" x14ac:dyDescent="0.25">
      <c r="A95" t="s">
        <v>304</v>
      </c>
      <c r="B95" t="s">
        <v>125</v>
      </c>
    </row>
    <row r="96" spans="1:2" x14ac:dyDescent="0.25">
      <c r="A96" t="s">
        <v>305</v>
      </c>
      <c r="B96" t="s">
        <v>125</v>
      </c>
    </row>
    <row r="97" spans="1:2" x14ac:dyDescent="0.25">
      <c r="A97" t="s">
        <v>306</v>
      </c>
      <c r="B97" t="s">
        <v>125</v>
      </c>
    </row>
    <row r="98" spans="1:2" x14ac:dyDescent="0.25">
      <c r="A98" t="s">
        <v>307</v>
      </c>
      <c r="B98" t="s">
        <v>125</v>
      </c>
    </row>
    <row r="99" spans="1:2" x14ac:dyDescent="0.25">
      <c r="A99" t="s">
        <v>308</v>
      </c>
      <c r="B99" t="s">
        <v>125</v>
      </c>
    </row>
    <row r="100" spans="1:2" x14ac:dyDescent="0.25">
      <c r="A100" t="s">
        <v>309</v>
      </c>
      <c r="B100" t="s">
        <v>125</v>
      </c>
    </row>
    <row r="101" spans="1:2" x14ac:dyDescent="0.25">
      <c r="A101" t="s">
        <v>310</v>
      </c>
      <c r="B101" t="s">
        <v>125</v>
      </c>
    </row>
    <row r="102" spans="1:2" x14ac:dyDescent="0.25">
      <c r="A102" t="s">
        <v>311</v>
      </c>
      <c r="B102" t="s">
        <v>125</v>
      </c>
    </row>
    <row r="103" spans="1:2" x14ac:dyDescent="0.25">
      <c r="A103" t="s">
        <v>312</v>
      </c>
      <c r="B103" t="s">
        <v>125</v>
      </c>
    </row>
    <row r="104" spans="1:2" x14ac:dyDescent="0.25">
      <c r="A104" t="s">
        <v>313</v>
      </c>
      <c r="B104" t="s">
        <v>125</v>
      </c>
    </row>
    <row r="105" spans="1:2" x14ac:dyDescent="0.25">
      <c r="A105" t="s">
        <v>314</v>
      </c>
      <c r="B105" t="s">
        <v>125</v>
      </c>
    </row>
    <row r="106" spans="1:2" x14ac:dyDescent="0.25">
      <c r="A106" t="s">
        <v>315</v>
      </c>
      <c r="B106" t="s">
        <v>125</v>
      </c>
    </row>
    <row r="107" spans="1:2" x14ac:dyDescent="0.25">
      <c r="A107" t="s">
        <v>316</v>
      </c>
      <c r="B107" t="s">
        <v>125</v>
      </c>
    </row>
    <row r="108" spans="1:2" x14ac:dyDescent="0.25">
      <c r="A108" t="s">
        <v>317</v>
      </c>
      <c r="B108" t="s">
        <v>125</v>
      </c>
    </row>
    <row r="109" spans="1:2" x14ac:dyDescent="0.25">
      <c r="A109" t="s">
        <v>318</v>
      </c>
      <c r="B109" t="s">
        <v>125</v>
      </c>
    </row>
    <row r="110" spans="1:2" x14ac:dyDescent="0.25">
      <c r="A110" t="s">
        <v>319</v>
      </c>
      <c r="B110" t="s">
        <v>125</v>
      </c>
    </row>
    <row r="111" spans="1:2" x14ac:dyDescent="0.25">
      <c r="A111" t="s">
        <v>320</v>
      </c>
      <c r="B111" t="s">
        <v>125</v>
      </c>
    </row>
    <row r="112" spans="1:2" x14ac:dyDescent="0.25">
      <c r="A112" t="s">
        <v>321</v>
      </c>
      <c r="B112" t="s">
        <v>125</v>
      </c>
    </row>
    <row r="113" spans="1:2" x14ac:dyDescent="0.25">
      <c r="A113" t="s">
        <v>322</v>
      </c>
      <c r="B113" t="s">
        <v>125</v>
      </c>
    </row>
    <row r="114" spans="1:2" x14ac:dyDescent="0.25">
      <c r="A114" t="s">
        <v>323</v>
      </c>
      <c r="B114" t="s">
        <v>125</v>
      </c>
    </row>
    <row r="115" spans="1:2" x14ac:dyDescent="0.25">
      <c r="A115" t="s">
        <v>324</v>
      </c>
      <c r="B115" t="s">
        <v>125</v>
      </c>
    </row>
    <row r="116" spans="1:2" x14ac:dyDescent="0.25">
      <c r="A116" t="s">
        <v>325</v>
      </c>
      <c r="B116" t="s">
        <v>125</v>
      </c>
    </row>
    <row r="117" spans="1:2" x14ac:dyDescent="0.25">
      <c r="A117" t="s">
        <v>326</v>
      </c>
      <c r="B117" t="s">
        <v>125</v>
      </c>
    </row>
    <row r="118" spans="1:2" x14ac:dyDescent="0.25">
      <c r="A118" t="s">
        <v>327</v>
      </c>
      <c r="B118" t="s">
        <v>125</v>
      </c>
    </row>
    <row r="119" spans="1:2" x14ac:dyDescent="0.25">
      <c r="A119" t="s">
        <v>328</v>
      </c>
      <c r="B119" t="s">
        <v>125</v>
      </c>
    </row>
    <row r="120" spans="1:2" x14ac:dyDescent="0.25">
      <c r="A120" t="s">
        <v>329</v>
      </c>
      <c r="B120" t="s">
        <v>125</v>
      </c>
    </row>
    <row r="121" spans="1:2" x14ac:dyDescent="0.25">
      <c r="A121" t="s">
        <v>330</v>
      </c>
      <c r="B121" t="s">
        <v>125</v>
      </c>
    </row>
    <row r="122" spans="1:2" x14ac:dyDescent="0.25">
      <c r="A122" t="s">
        <v>331</v>
      </c>
      <c r="B122" t="s">
        <v>125</v>
      </c>
    </row>
    <row r="123" spans="1:2" x14ac:dyDescent="0.25">
      <c r="A123" t="s">
        <v>332</v>
      </c>
      <c r="B123" t="s">
        <v>125</v>
      </c>
    </row>
    <row r="124" spans="1:2" x14ac:dyDescent="0.25">
      <c r="A124" t="s">
        <v>333</v>
      </c>
      <c r="B124" t="s">
        <v>125</v>
      </c>
    </row>
    <row r="125" spans="1:2" x14ac:dyDescent="0.25">
      <c r="A125" t="s">
        <v>334</v>
      </c>
      <c r="B125" t="s">
        <v>125</v>
      </c>
    </row>
    <row r="126" spans="1:2" x14ac:dyDescent="0.25">
      <c r="A126" t="s">
        <v>335</v>
      </c>
      <c r="B126" t="s">
        <v>125</v>
      </c>
    </row>
    <row r="127" spans="1:2" x14ac:dyDescent="0.25">
      <c r="A127" t="s">
        <v>336</v>
      </c>
      <c r="B127" t="s">
        <v>125</v>
      </c>
    </row>
    <row r="128" spans="1:2" x14ac:dyDescent="0.25">
      <c r="A128" t="s">
        <v>337</v>
      </c>
      <c r="B128" t="s">
        <v>125</v>
      </c>
    </row>
    <row r="129" spans="1:2" x14ac:dyDescent="0.25">
      <c r="A129" t="s">
        <v>338</v>
      </c>
      <c r="B129" t="s">
        <v>125</v>
      </c>
    </row>
    <row r="130" spans="1:2" x14ac:dyDescent="0.25">
      <c r="A130" t="s">
        <v>339</v>
      </c>
      <c r="B130" t="s">
        <v>125</v>
      </c>
    </row>
    <row r="131" spans="1:2" x14ac:dyDescent="0.25">
      <c r="A131" t="s">
        <v>340</v>
      </c>
      <c r="B131" t="s">
        <v>125</v>
      </c>
    </row>
    <row r="132" spans="1:2" x14ac:dyDescent="0.25">
      <c r="A132" t="s">
        <v>341</v>
      </c>
      <c r="B132" t="s">
        <v>125</v>
      </c>
    </row>
    <row r="133" spans="1:2" x14ac:dyDescent="0.25">
      <c r="A133" t="s">
        <v>342</v>
      </c>
      <c r="B133" t="s">
        <v>125</v>
      </c>
    </row>
    <row r="134" spans="1:2" x14ac:dyDescent="0.25">
      <c r="A134" t="s">
        <v>343</v>
      </c>
      <c r="B134" t="s">
        <v>125</v>
      </c>
    </row>
    <row r="135" spans="1:2" x14ac:dyDescent="0.25">
      <c r="A135" t="s">
        <v>344</v>
      </c>
      <c r="B135" t="s">
        <v>125</v>
      </c>
    </row>
    <row r="136" spans="1:2" x14ac:dyDescent="0.25">
      <c r="A136" t="s">
        <v>345</v>
      </c>
      <c r="B136" t="s">
        <v>125</v>
      </c>
    </row>
    <row r="137" spans="1:2" x14ac:dyDescent="0.25">
      <c r="A137" t="s">
        <v>346</v>
      </c>
      <c r="B137" t="s">
        <v>125</v>
      </c>
    </row>
    <row r="138" spans="1:2" x14ac:dyDescent="0.25">
      <c r="A138" t="s">
        <v>347</v>
      </c>
      <c r="B138" t="s">
        <v>125</v>
      </c>
    </row>
    <row r="139" spans="1:2" x14ac:dyDescent="0.25">
      <c r="A139" t="s">
        <v>348</v>
      </c>
      <c r="B139" t="s">
        <v>125</v>
      </c>
    </row>
    <row r="140" spans="1:2" x14ac:dyDescent="0.25">
      <c r="A140" t="s">
        <v>349</v>
      </c>
      <c r="B140" t="s">
        <v>125</v>
      </c>
    </row>
    <row r="141" spans="1:2" x14ac:dyDescent="0.25">
      <c r="A141" t="s">
        <v>350</v>
      </c>
      <c r="B141" t="s">
        <v>125</v>
      </c>
    </row>
    <row r="142" spans="1:2" x14ac:dyDescent="0.25">
      <c r="A142" t="s">
        <v>351</v>
      </c>
      <c r="B142" t="s">
        <v>125</v>
      </c>
    </row>
    <row r="143" spans="1:2" x14ac:dyDescent="0.25">
      <c r="A143" t="s">
        <v>352</v>
      </c>
      <c r="B143" t="s">
        <v>125</v>
      </c>
    </row>
    <row r="144" spans="1:2" x14ac:dyDescent="0.25">
      <c r="A144" t="s">
        <v>353</v>
      </c>
      <c r="B144" t="s">
        <v>125</v>
      </c>
    </row>
    <row r="145" spans="1:2" x14ac:dyDescent="0.25">
      <c r="A145" t="s">
        <v>354</v>
      </c>
      <c r="B145" t="s">
        <v>125</v>
      </c>
    </row>
    <row r="146" spans="1:2" x14ac:dyDescent="0.25">
      <c r="A146" t="s">
        <v>355</v>
      </c>
      <c r="B146" t="s">
        <v>125</v>
      </c>
    </row>
    <row r="147" spans="1:2" x14ac:dyDescent="0.25">
      <c r="A147" t="s">
        <v>356</v>
      </c>
      <c r="B147" t="s">
        <v>125</v>
      </c>
    </row>
    <row r="148" spans="1:2" x14ac:dyDescent="0.25">
      <c r="A148" t="s">
        <v>357</v>
      </c>
      <c r="B148" t="s">
        <v>125</v>
      </c>
    </row>
    <row r="149" spans="1:2" x14ac:dyDescent="0.25">
      <c r="A149" t="s">
        <v>358</v>
      </c>
      <c r="B149" t="s">
        <v>125</v>
      </c>
    </row>
    <row r="150" spans="1:2" x14ac:dyDescent="0.25">
      <c r="A150" t="s">
        <v>359</v>
      </c>
      <c r="B150" t="s">
        <v>125</v>
      </c>
    </row>
    <row r="151" spans="1:2" x14ac:dyDescent="0.25">
      <c r="A151" t="s">
        <v>360</v>
      </c>
      <c r="B151" t="s">
        <v>125</v>
      </c>
    </row>
    <row r="152" spans="1:2" x14ac:dyDescent="0.25">
      <c r="A152" t="s">
        <v>361</v>
      </c>
      <c r="B152" t="s">
        <v>125</v>
      </c>
    </row>
    <row r="153" spans="1:2" x14ac:dyDescent="0.25">
      <c r="A153" t="s">
        <v>362</v>
      </c>
      <c r="B153" t="s">
        <v>125</v>
      </c>
    </row>
    <row r="154" spans="1:2" x14ac:dyDescent="0.25">
      <c r="A154" t="s">
        <v>363</v>
      </c>
      <c r="B154" t="s">
        <v>125</v>
      </c>
    </row>
    <row r="155" spans="1:2" x14ac:dyDescent="0.25">
      <c r="A155" t="s">
        <v>364</v>
      </c>
      <c r="B155" t="s">
        <v>125</v>
      </c>
    </row>
    <row r="156" spans="1:2" x14ac:dyDescent="0.25">
      <c r="A156" t="s">
        <v>365</v>
      </c>
      <c r="B156" t="s">
        <v>125</v>
      </c>
    </row>
    <row r="157" spans="1:2" x14ac:dyDescent="0.25">
      <c r="A157" t="s">
        <v>366</v>
      </c>
      <c r="B157" t="s">
        <v>125</v>
      </c>
    </row>
    <row r="158" spans="1:2" x14ac:dyDescent="0.25">
      <c r="A158" t="s">
        <v>367</v>
      </c>
      <c r="B158" t="s">
        <v>125</v>
      </c>
    </row>
    <row r="159" spans="1:2" x14ac:dyDescent="0.25">
      <c r="A159" t="s">
        <v>368</v>
      </c>
      <c r="B159" t="s">
        <v>125</v>
      </c>
    </row>
    <row r="160" spans="1:2" x14ac:dyDescent="0.25">
      <c r="A160" t="s">
        <v>369</v>
      </c>
      <c r="B160" t="s">
        <v>125</v>
      </c>
    </row>
    <row r="161" spans="1:2" x14ac:dyDescent="0.25">
      <c r="A161" t="s">
        <v>370</v>
      </c>
      <c r="B161" t="s">
        <v>125</v>
      </c>
    </row>
    <row r="162" spans="1:2" x14ac:dyDescent="0.25">
      <c r="A162" t="s">
        <v>371</v>
      </c>
      <c r="B162" t="s">
        <v>125</v>
      </c>
    </row>
    <row r="163" spans="1:2" x14ac:dyDescent="0.25">
      <c r="A163" t="s">
        <v>372</v>
      </c>
      <c r="B163" t="s">
        <v>125</v>
      </c>
    </row>
    <row r="164" spans="1:2" x14ac:dyDescent="0.25">
      <c r="A164" t="s">
        <v>373</v>
      </c>
      <c r="B164" t="s">
        <v>125</v>
      </c>
    </row>
    <row r="165" spans="1:2" x14ac:dyDescent="0.25">
      <c r="A165" t="s">
        <v>374</v>
      </c>
      <c r="B165" t="s">
        <v>125</v>
      </c>
    </row>
    <row r="166" spans="1:2" x14ac:dyDescent="0.25">
      <c r="A166" t="s">
        <v>375</v>
      </c>
      <c r="B166" t="s">
        <v>125</v>
      </c>
    </row>
    <row r="167" spans="1:2" x14ac:dyDescent="0.25">
      <c r="A167" t="s">
        <v>376</v>
      </c>
      <c r="B167" t="s">
        <v>125</v>
      </c>
    </row>
    <row r="168" spans="1:2" x14ac:dyDescent="0.25">
      <c r="A168" t="s">
        <v>377</v>
      </c>
      <c r="B168" t="s">
        <v>125</v>
      </c>
    </row>
    <row r="169" spans="1:2" x14ac:dyDescent="0.25">
      <c r="A169" t="s">
        <v>378</v>
      </c>
      <c r="B169" t="s">
        <v>125</v>
      </c>
    </row>
    <row r="170" spans="1:2" x14ac:dyDescent="0.25">
      <c r="A170" t="s">
        <v>379</v>
      </c>
      <c r="B170" t="s">
        <v>125</v>
      </c>
    </row>
    <row r="171" spans="1:2" x14ac:dyDescent="0.25">
      <c r="A171" t="s">
        <v>380</v>
      </c>
      <c r="B171" t="s">
        <v>125</v>
      </c>
    </row>
    <row r="172" spans="1:2" x14ac:dyDescent="0.25">
      <c r="A172" t="s">
        <v>381</v>
      </c>
      <c r="B172" t="s">
        <v>125</v>
      </c>
    </row>
    <row r="173" spans="1:2" x14ac:dyDescent="0.25">
      <c r="A173" t="s">
        <v>382</v>
      </c>
      <c r="B173" t="s">
        <v>125</v>
      </c>
    </row>
    <row r="174" spans="1:2" x14ac:dyDescent="0.25">
      <c r="A174" t="s">
        <v>383</v>
      </c>
      <c r="B174" t="s">
        <v>125</v>
      </c>
    </row>
    <row r="175" spans="1:2" x14ac:dyDescent="0.25">
      <c r="A175" t="s">
        <v>384</v>
      </c>
      <c r="B175" t="s">
        <v>125</v>
      </c>
    </row>
    <row r="176" spans="1:2" x14ac:dyDescent="0.25">
      <c r="A176" t="s">
        <v>385</v>
      </c>
      <c r="B176" t="s">
        <v>125</v>
      </c>
    </row>
    <row r="177" spans="1:2" x14ac:dyDescent="0.25">
      <c r="A177" t="s">
        <v>386</v>
      </c>
      <c r="B177" t="s">
        <v>125</v>
      </c>
    </row>
    <row r="178" spans="1:2" x14ac:dyDescent="0.25">
      <c r="A178" t="s">
        <v>387</v>
      </c>
      <c r="B178" t="s">
        <v>125</v>
      </c>
    </row>
    <row r="179" spans="1:2" x14ac:dyDescent="0.25">
      <c r="A179" t="s">
        <v>388</v>
      </c>
      <c r="B179" t="s">
        <v>125</v>
      </c>
    </row>
    <row r="180" spans="1:2" x14ac:dyDescent="0.25">
      <c r="A180" t="s">
        <v>389</v>
      </c>
      <c r="B180" t="s">
        <v>125</v>
      </c>
    </row>
    <row r="181" spans="1:2" x14ac:dyDescent="0.25">
      <c r="A181" t="s">
        <v>390</v>
      </c>
      <c r="B181" t="s">
        <v>125</v>
      </c>
    </row>
    <row r="182" spans="1:2" x14ac:dyDescent="0.25">
      <c r="A182" t="s">
        <v>391</v>
      </c>
      <c r="B182" t="s">
        <v>125</v>
      </c>
    </row>
    <row r="183" spans="1:2" x14ac:dyDescent="0.25">
      <c r="A183" t="s">
        <v>392</v>
      </c>
      <c r="B183" t="s">
        <v>125</v>
      </c>
    </row>
    <row r="184" spans="1:2" x14ac:dyDescent="0.25">
      <c r="A184" t="s">
        <v>393</v>
      </c>
      <c r="B184" t="s">
        <v>125</v>
      </c>
    </row>
    <row r="185" spans="1:2" x14ac:dyDescent="0.25">
      <c r="A185" t="s">
        <v>394</v>
      </c>
      <c r="B185" t="s">
        <v>125</v>
      </c>
    </row>
    <row r="186" spans="1:2" x14ac:dyDescent="0.25">
      <c r="A186" t="s">
        <v>395</v>
      </c>
      <c r="B186" t="s">
        <v>125</v>
      </c>
    </row>
    <row r="187" spans="1:2" x14ac:dyDescent="0.25">
      <c r="A187" t="s">
        <v>396</v>
      </c>
      <c r="B187" t="s">
        <v>125</v>
      </c>
    </row>
    <row r="188" spans="1:2" x14ac:dyDescent="0.25">
      <c r="A188" t="s">
        <v>397</v>
      </c>
      <c r="B188" t="s">
        <v>125</v>
      </c>
    </row>
    <row r="189" spans="1:2" x14ac:dyDescent="0.25">
      <c r="A189" t="s">
        <v>398</v>
      </c>
      <c r="B189" t="s">
        <v>125</v>
      </c>
    </row>
    <row r="190" spans="1:2" x14ac:dyDescent="0.25">
      <c r="A190" t="s">
        <v>399</v>
      </c>
      <c r="B190" t="s">
        <v>125</v>
      </c>
    </row>
    <row r="191" spans="1:2" x14ac:dyDescent="0.25">
      <c r="A191" t="s">
        <v>400</v>
      </c>
      <c r="B191" t="s">
        <v>125</v>
      </c>
    </row>
    <row r="192" spans="1:2" x14ac:dyDescent="0.25">
      <c r="A192" t="s">
        <v>401</v>
      </c>
      <c r="B192" t="s">
        <v>125</v>
      </c>
    </row>
    <row r="193" spans="1:2" x14ac:dyDescent="0.25">
      <c r="A193" t="s">
        <v>402</v>
      </c>
      <c r="B193" t="s">
        <v>125</v>
      </c>
    </row>
    <row r="194" spans="1:2" x14ac:dyDescent="0.25">
      <c r="A194" t="s">
        <v>403</v>
      </c>
      <c r="B194" t="s">
        <v>125</v>
      </c>
    </row>
    <row r="195" spans="1:2" x14ac:dyDescent="0.25">
      <c r="A195" t="s">
        <v>404</v>
      </c>
      <c r="B195" t="s">
        <v>125</v>
      </c>
    </row>
    <row r="196" spans="1:2" x14ac:dyDescent="0.25">
      <c r="A196" t="s">
        <v>405</v>
      </c>
      <c r="B196" t="s">
        <v>125</v>
      </c>
    </row>
    <row r="197" spans="1:2" x14ac:dyDescent="0.25">
      <c r="A197" t="s">
        <v>406</v>
      </c>
      <c r="B197" t="s">
        <v>125</v>
      </c>
    </row>
    <row r="198" spans="1:2" x14ac:dyDescent="0.25">
      <c r="A198" t="s">
        <v>407</v>
      </c>
      <c r="B198" t="s">
        <v>125</v>
      </c>
    </row>
    <row r="199" spans="1:2" x14ac:dyDescent="0.25">
      <c r="A199" t="s">
        <v>408</v>
      </c>
      <c r="B199" t="s">
        <v>125</v>
      </c>
    </row>
    <row r="200" spans="1:2" x14ac:dyDescent="0.25">
      <c r="A200" t="s">
        <v>409</v>
      </c>
      <c r="B200" t="s">
        <v>125</v>
      </c>
    </row>
    <row r="201" spans="1:2" x14ac:dyDescent="0.25">
      <c r="A201" t="s">
        <v>410</v>
      </c>
      <c r="B201" t="s">
        <v>125</v>
      </c>
    </row>
    <row r="202" spans="1:2" x14ac:dyDescent="0.25">
      <c r="A202" t="s">
        <v>411</v>
      </c>
      <c r="B202" t="s">
        <v>125</v>
      </c>
    </row>
    <row r="203" spans="1:2" x14ac:dyDescent="0.25">
      <c r="A203" t="s">
        <v>412</v>
      </c>
      <c r="B203" t="s">
        <v>125</v>
      </c>
    </row>
    <row r="204" spans="1:2" x14ac:dyDescent="0.25">
      <c r="A204" t="s">
        <v>413</v>
      </c>
      <c r="B204" t="s">
        <v>125</v>
      </c>
    </row>
    <row r="205" spans="1:2" x14ac:dyDescent="0.25">
      <c r="A205" t="s">
        <v>414</v>
      </c>
      <c r="B205" t="s">
        <v>125</v>
      </c>
    </row>
    <row r="206" spans="1:2" x14ac:dyDescent="0.25">
      <c r="A206" t="s">
        <v>415</v>
      </c>
      <c r="B206" t="s">
        <v>125</v>
      </c>
    </row>
    <row r="207" spans="1:2" x14ac:dyDescent="0.25">
      <c r="A207" t="s">
        <v>416</v>
      </c>
      <c r="B207" t="s">
        <v>125</v>
      </c>
    </row>
    <row r="208" spans="1:2" x14ac:dyDescent="0.25">
      <c r="A208" t="s">
        <v>417</v>
      </c>
      <c r="B208" t="s">
        <v>125</v>
      </c>
    </row>
    <row r="209" spans="1:2" x14ac:dyDescent="0.25">
      <c r="A209" t="s">
        <v>418</v>
      </c>
      <c r="B209" t="s">
        <v>125</v>
      </c>
    </row>
    <row r="210" spans="1:2" x14ac:dyDescent="0.25">
      <c r="A210" t="s">
        <v>419</v>
      </c>
      <c r="B210" t="s">
        <v>125</v>
      </c>
    </row>
    <row r="211" spans="1:2" x14ac:dyDescent="0.25">
      <c r="A211" t="s">
        <v>420</v>
      </c>
      <c r="B211" t="s">
        <v>125</v>
      </c>
    </row>
    <row r="212" spans="1:2" x14ac:dyDescent="0.25">
      <c r="A212" t="s">
        <v>185</v>
      </c>
      <c r="B212" t="s">
        <v>125</v>
      </c>
    </row>
    <row r="213" spans="1:2" x14ac:dyDescent="0.25">
      <c r="A213" t="s">
        <v>421</v>
      </c>
      <c r="B213" t="s">
        <v>125</v>
      </c>
    </row>
    <row r="214" spans="1:2" x14ac:dyDescent="0.25">
      <c r="A214" t="s">
        <v>422</v>
      </c>
      <c r="B214" t="s">
        <v>125</v>
      </c>
    </row>
    <row r="215" spans="1:2" x14ac:dyDescent="0.25">
      <c r="A215" t="s">
        <v>423</v>
      </c>
      <c r="B215" t="s">
        <v>125</v>
      </c>
    </row>
    <row r="216" spans="1:2" x14ac:dyDescent="0.25">
      <c r="A216" t="s">
        <v>424</v>
      </c>
      <c r="B216" t="s">
        <v>125</v>
      </c>
    </row>
    <row r="217" spans="1:2" x14ac:dyDescent="0.25">
      <c r="A217" t="s">
        <v>425</v>
      </c>
      <c r="B217" t="s">
        <v>125</v>
      </c>
    </row>
    <row r="218" spans="1:2" x14ac:dyDescent="0.25">
      <c r="A218" t="s">
        <v>426</v>
      </c>
      <c r="B218" t="s">
        <v>125</v>
      </c>
    </row>
    <row r="219" spans="1:2" x14ac:dyDescent="0.25">
      <c r="A219" t="s">
        <v>427</v>
      </c>
      <c r="B219" t="s">
        <v>125</v>
      </c>
    </row>
    <row r="220" spans="1:2" x14ac:dyDescent="0.25">
      <c r="A220" t="s">
        <v>428</v>
      </c>
      <c r="B220" t="s">
        <v>125</v>
      </c>
    </row>
    <row r="221" spans="1:2" x14ac:dyDescent="0.25">
      <c r="A221" t="s">
        <v>429</v>
      </c>
      <c r="B221" t="s">
        <v>125</v>
      </c>
    </row>
    <row r="222" spans="1:2" x14ac:dyDescent="0.25">
      <c r="A222" t="s">
        <v>430</v>
      </c>
      <c r="B222" t="s">
        <v>125</v>
      </c>
    </row>
    <row r="223" spans="1:2" x14ac:dyDescent="0.25">
      <c r="A223" t="s">
        <v>431</v>
      </c>
      <c r="B223" t="s">
        <v>125</v>
      </c>
    </row>
    <row r="224" spans="1:2" x14ac:dyDescent="0.25">
      <c r="A224" t="s">
        <v>432</v>
      </c>
      <c r="B224" t="s">
        <v>125</v>
      </c>
    </row>
    <row r="225" spans="1:2" x14ac:dyDescent="0.25">
      <c r="A225" t="s">
        <v>433</v>
      </c>
      <c r="B225" t="s">
        <v>125</v>
      </c>
    </row>
    <row r="226" spans="1:2" x14ac:dyDescent="0.25">
      <c r="A226" t="s">
        <v>434</v>
      </c>
      <c r="B226" t="s">
        <v>125</v>
      </c>
    </row>
    <row r="227" spans="1:2" x14ac:dyDescent="0.25">
      <c r="A227" t="s">
        <v>435</v>
      </c>
      <c r="B227" t="s">
        <v>125</v>
      </c>
    </row>
    <row r="228" spans="1:2" x14ac:dyDescent="0.25">
      <c r="A228" t="s">
        <v>436</v>
      </c>
      <c r="B228" t="s">
        <v>125</v>
      </c>
    </row>
    <row r="229" spans="1:2" x14ac:dyDescent="0.25">
      <c r="A229" t="s">
        <v>437</v>
      </c>
      <c r="B229" t="s">
        <v>125</v>
      </c>
    </row>
    <row r="230" spans="1:2" x14ac:dyDescent="0.25">
      <c r="A230" t="s">
        <v>438</v>
      </c>
      <c r="B230" t="s">
        <v>125</v>
      </c>
    </row>
    <row r="231" spans="1:2" x14ac:dyDescent="0.25">
      <c r="A231" t="s">
        <v>439</v>
      </c>
      <c r="B231" t="s">
        <v>125</v>
      </c>
    </row>
    <row r="232" spans="1:2" x14ac:dyDescent="0.25">
      <c r="A232" t="s">
        <v>440</v>
      </c>
      <c r="B232" t="s">
        <v>125</v>
      </c>
    </row>
    <row r="233" spans="1:2" x14ac:dyDescent="0.25">
      <c r="A233" t="s">
        <v>441</v>
      </c>
      <c r="B233" t="s">
        <v>125</v>
      </c>
    </row>
    <row r="234" spans="1:2" x14ac:dyDescent="0.25">
      <c r="A234" t="s">
        <v>442</v>
      </c>
      <c r="B234" t="s">
        <v>125</v>
      </c>
    </row>
    <row r="235" spans="1:2" x14ac:dyDescent="0.25">
      <c r="A235" t="s">
        <v>443</v>
      </c>
      <c r="B235" t="s">
        <v>125</v>
      </c>
    </row>
    <row r="236" spans="1:2" x14ac:dyDescent="0.25">
      <c r="A236" t="s">
        <v>444</v>
      </c>
      <c r="B236" t="s">
        <v>125</v>
      </c>
    </row>
    <row r="237" spans="1:2" x14ac:dyDescent="0.25">
      <c r="A237" t="s">
        <v>445</v>
      </c>
      <c r="B237" t="s">
        <v>125</v>
      </c>
    </row>
    <row r="238" spans="1:2" x14ac:dyDescent="0.25">
      <c r="A238" t="s">
        <v>446</v>
      </c>
      <c r="B238" t="s">
        <v>125</v>
      </c>
    </row>
    <row r="239" spans="1:2" x14ac:dyDescent="0.25">
      <c r="A239" t="s">
        <v>447</v>
      </c>
      <c r="B239" t="s">
        <v>125</v>
      </c>
    </row>
    <row r="240" spans="1:2" x14ac:dyDescent="0.25">
      <c r="A240" t="s">
        <v>448</v>
      </c>
      <c r="B240" t="s">
        <v>125</v>
      </c>
    </row>
    <row r="241" spans="1:2" x14ac:dyDescent="0.25">
      <c r="A241" t="s">
        <v>449</v>
      </c>
      <c r="B241" t="s">
        <v>125</v>
      </c>
    </row>
    <row r="242" spans="1:2" x14ac:dyDescent="0.25">
      <c r="A242" t="s">
        <v>450</v>
      </c>
      <c r="B242" t="s">
        <v>125</v>
      </c>
    </row>
    <row r="243" spans="1:2" x14ac:dyDescent="0.25">
      <c r="A243" t="s">
        <v>184</v>
      </c>
      <c r="B243" t="s">
        <v>125</v>
      </c>
    </row>
    <row r="244" spans="1:2" x14ac:dyDescent="0.25">
      <c r="A244" t="s">
        <v>451</v>
      </c>
      <c r="B244" t="s">
        <v>125</v>
      </c>
    </row>
    <row r="245" spans="1:2" x14ac:dyDescent="0.25">
      <c r="A245" t="s">
        <v>183</v>
      </c>
      <c r="B245" t="s">
        <v>125</v>
      </c>
    </row>
    <row r="246" spans="1:2" x14ac:dyDescent="0.25">
      <c r="A246" t="s">
        <v>452</v>
      </c>
      <c r="B246" t="s">
        <v>125</v>
      </c>
    </row>
    <row r="247" spans="1:2" x14ac:dyDescent="0.25">
      <c r="A247" t="s">
        <v>453</v>
      </c>
      <c r="B247" t="s">
        <v>125</v>
      </c>
    </row>
    <row r="248" spans="1:2" x14ac:dyDescent="0.25">
      <c r="A248" t="s">
        <v>454</v>
      </c>
      <c r="B248" t="s">
        <v>125</v>
      </c>
    </row>
    <row r="249" spans="1:2" x14ac:dyDescent="0.25">
      <c r="A249" t="s">
        <v>455</v>
      </c>
      <c r="B249" t="s">
        <v>125</v>
      </c>
    </row>
    <row r="250" spans="1:2" x14ac:dyDescent="0.25">
      <c r="A250" t="s">
        <v>456</v>
      </c>
      <c r="B250" t="s">
        <v>125</v>
      </c>
    </row>
    <row r="251" spans="1:2" x14ac:dyDescent="0.25">
      <c r="A251" t="s">
        <v>457</v>
      </c>
      <c r="B251" t="s">
        <v>125</v>
      </c>
    </row>
    <row r="252" spans="1:2" x14ac:dyDescent="0.25">
      <c r="A252" t="s">
        <v>458</v>
      </c>
      <c r="B252" t="s">
        <v>125</v>
      </c>
    </row>
    <row r="253" spans="1:2" x14ac:dyDescent="0.25">
      <c r="A253" t="s">
        <v>459</v>
      </c>
      <c r="B253" t="s">
        <v>125</v>
      </c>
    </row>
    <row r="254" spans="1:2" x14ac:dyDescent="0.25">
      <c r="A254" t="s">
        <v>460</v>
      </c>
      <c r="B254" t="s">
        <v>125</v>
      </c>
    </row>
    <row r="255" spans="1:2" x14ac:dyDescent="0.25">
      <c r="A255" t="s">
        <v>461</v>
      </c>
      <c r="B255" t="s">
        <v>125</v>
      </c>
    </row>
    <row r="256" spans="1:2" x14ac:dyDescent="0.25">
      <c r="A256" t="s">
        <v>462</v>
      </c>
      <c r="B256" t="s">
        <v>125</v>
      </c>
    </row>
    <row r="257" spans="1:2" x14ac:dyDescent="0.25">
      <c r="A257" t="s">
        <v>463</v>
      </c>
      <c r="B257" t="s">
        <v>125</v>
      </c>
    </row>
    <row r="258" spans="1:2" x14ac:dyDescent="0.25">
      <c r="A258" t="s">
        <v>464</v>
      </c>
      <c r="B258" t="s">
        <v>125</v>
      </c>
    </row>
    <row r="259" spans="1:2" x14ac:dyDescent="0.25">
      <c r="A259" t="s">
        <v>465</v>
      </c>
      <c r="B259" t="s">
        <v>125</v>
      </c>
    </row>
    <row r="260" spans="1:2" x14ac:dyDescent="0.25">
      <c r="A260" t="s">
        <v>466</v>
      </c>
      <c r="B260" t="s">
        <v>125</v>
      </c>
    </row>
    <row r="261" spans="1:2" x14ac:dyDescent="0.25">
      <c r="A261" t="s">
        <v>467</v>
      </c>
      <c r="B261" t="s">
        <v>125</v>
      </c>
    </row>
    <row r="262" spans="1:2" x14ac:dyDescent="0.25">
      <c r="A262" t="s">
        <v>468</v>
      </c>
      <c r="B262" t="s">
        <v>125</v>
      </c>
    </row>
    <row r="263" spans="1:2" x14ac:dyDescent="0.25">
      <c r="A263" t="s">
        <v>469</v>
      </c>
      <c r="B263" t="s">
        <v>125</v>
      </c>
    </row>
    <row r="264" spans="1:2" x14ac:dyDescent="0.25">
      <c r="A264" t="s">
        <v>470</v>
      </c>
      <c r="B264" t="s">
        <v>125</v>
      </c>
    </row>
    <row r="265" spans="1:2" x14ac:dyDescent="0.25">
      <c r="A265" t="s">
        <v>471</v>
      </c>
      <c r="B265" t="s">
        <v>125</v>
      </c>
    </row>
    <row r="266" spans="1:2" x14ac:dyDescent="0.25">
      <c r="A266" t="s">
        <v>472</v>
      </c>
      <c r="B266" t="s">
        <v>125</v>
      </c>
    </row>
    <row r="267" spans="1:2" x14ac:dyDescent="0.25">
      <c r="A267" t="s">
        <v>473</v>
      </c>
      <c r="B267" t="s">
        <v>125</v>
      </c>
    </row>
    <row r="268" spans="1:2" x14ac:dyDescent="0.25">
      <c r="A268" t="s">
        <v>474</v>
      </c>
      <c r="B268" t="s">
        <v>125</v>
      </c>
    </row>
    <row r="269" spans="1:2" x14ac:dyDescent="0.25">
      <c r="A269" t="s">
        <v>475</v>
      </c>
      <c r="B269" t="s">
        <v>125</v>
      </c>
    </row>
    <row r="270" spans="1:2" x14ac:dyDescent="0.25">
      <c r="A270" t="s">
        <v>476</v>
      </c>
      <c r="B270" t="s">
        <v>125</v>
      </c>
    </row>
    <row r="271" spans="1:2" x14ac:dyDescent="0.25">
      <c r="A271" t="s">
        <v>477</v>
      </c>
      <c r="B271" t="s">
        <v>125</v>
      </c>
    </row>
    <row r="272" spans="1:2" x14ac:dyDescent="0.25">
      <c r="A272" t="s">
        <v>478</v>
      </c>
      <c r="B272" t="s">
        <v>125</v>
      </c>
    </row>
    <row r="273" spans="1:2" x14ac:dyDescent="0.25">
      <c r="A273" t="s">
        <v>479</v>
      </c>
      <c r="B273" t="s">
        <v>125</v>
      </c>
    </row>
    <row r="274" spans="1:2" x14ac:dyDescent="0.25">
      <c r="A274" t="s">
        <v>480</v>
      </c>
      <c r="B274" t="s">
        <v>125</v>
      </c>
    </row>
    <row r="275" spans="1:2" x14ac:dyDescent="0.25">
      <c r="A275" t="s">
        <v>481</v>
      </c>
      <c r="B275" t="s">
        <v>125</v>
      </c>
    </row>
    <row r="276" spans="1:2" x14ac:dyDescent="0.25">
      <c r="A276" t="s">
        <v>188</v>
      </c>
      <c r="B276" t="s">
        <v>125</v>
      </c>
    </row>
    <row r="277" spans="1:2" x14ac:dyDescent="0.25">
      <c r="A277" t="s">
        <v>482</v>
      </c>
      <c r="B277" t="s">
        <v>125</v>
      </c>
    </row>
    <row r="278" spans="1:2" x14ac:dyDescent="0.25">
      <c r="A278" t="s">
        <v>483</v>
      </c>
      <c r="B278" t="s">
        <v>125</v>
      </c>
    </row>
    <row r="279" spans="1:2" x14ac:dyDescent="0.25">
      <c r="A279" t="s">
        <v>484</v>
      </c>
      <c r="B279" t="s">
        <v>125</v>
      </c>
    </row>
    <row r="280" spans="1:2" x14ac:dyDescent="0.25">
      <c r="A280" t="s">
        <v>485</v>
      </c>
      <c r="B280" t="s">
        <v>125</v>
      </c>
    </row>
    <row r="281" spans="1:2" x14ac:dyDescent="0.25">
      <c r="A281" t="s">
        <v>486</v>
      </c>
      <c r="B281" t="s">
        <v>125</v>
      </c>
    </row>
    <row r="282" spans="1:2" x14ac:dyDescent="0.25">
      <c r="A282" t="s">
        <v>487</v>
      </c>
      <c r="B282" t="s">
        <v>125</v>
      </c>
    </row>
    <row r="283" spans="1:2" x14ac:dyDescent="0.25">
      <c r="A283" t="s">
        <v>488</v>
      </c>
      <c r="B283" t="s">
        <v>125</v>
      </c>
    </row>
    <row r="284" spans="1:2" x14ac:dyDescent="0.25">
      <c r="A284" t="s">
        <v>190</v>
      </c>
      <c r="B284" t="s">
        <v>125</v>
      </c>
    </row>
    <row r="285" spans="1:2" x14ac:dyDescent="0.25">
      <c r="A285" t="s">
        <v>489</v>
      </c>
      <c r="B285" t="s">
        <v>125</v>
      </c>
    </row>
    <row r="286" spans="1:2" x14ac:dyDescent="0.25">
      <c r="A286" t="s">
        <v>490</v>
      </c>
      <c r="B286" t="s">
        <v>125</v>
      </c>
    </row>
    <row r="287" spans="1:2" x14ac:dyDescent="0.25">
      <c r="A287" t="s">
        <v>491</v>
      </c>
      <c r="B287" t="s">
        <v>125</v>
      </c>
    </row>
    <row r="288" spans="1:2" x14ac:dyDescent="0.25">
      <c r="A288" t="s">
        <v>492</v>
      </c>
      <c r="B288" t="s">
        <v>125</v>
      </c>
    </row>
    <row r="289" spans="1:2" x14ac:dyDescent="0.25">
      <c r="A289" t="s">
        <v>493</v>
      </c>
      <c r="B289" t="s">
        <v>125</v>
      </c>
    </row>
    <row r="290" spans="1:2" x14ac:dyDescent="0.25">
      <c r="A290" t="s">
        <v>186</v>
      </c>
      <c r="B290" t="s">
        <v>125</v>
      </c>
    </row>
    <row r="291" spans="1:2" x14ac:dyDescent="0.25">
      <c r="A291" t="s">
        <v>494</v>
      </c>
      <c r="B291" t="s">
        <v>125</v>
      </c>
    </row>
    <row r="292" spans="1:2" x14ac:dyDescent="0.25">
      <c r="A292" t="s">
        <v>495</v>
      </c>
      <c r="B292" t="s">
        <v>125</v>
      </c>
    </row>
    <row r="293" spans="1:2" x14ac:dyDescent="0.25">
      <c r="A293" t="s">
        <v>496</v>
      </c>
      <c r="B293" t="s">
        <v>125</v>
      </c>
    </row>
    <row r="294" spans="1:2" x14ac:dyDescent="0.25">
      <c r="A294" t="s">
        <v>191</v>
      </c>
      <c r="B294" t="s">
        <v>125</v>
      </c>
    </row>
    <row r="295" spans="1:2" x14ac:dyDescent="0.25">
      <c r="A295" t="s">
        <v>497</v>
      </c>
      <c r="B295" t="s">
        <v>125</v>
      </c>
    </row>
    <row r="296" spans="1:2" x14ac:dyDescent="0.25">
      <c r="A296" t="s">
        <v>498</v>
      </c>
      <c r="B296" t="s">
        <v>125</v>
      </c>
    </row>
    <row r="297" spans="1:2" x14ac:dyDescent="0.25">
      <c r="A297" t="s">
        <v>499</v>
      </c>
      <c r="B297" t="s">
        <v>125</v>
      </c>
    </row>
    <row r="298" spans="1:2" x14ac:dyDescent="0.25">
      <c r="A298" t="s">
        <v>500</v>
      </c>
      <c r="B298" t="s">
        <v>125</v>
      </c>
    </row>
    <row r="299" spans="1:2" x14ac:dyDescent="0.25">
      <c r="A299" t="s">
        <v>501</v>
      </c>
      <c r="B299" t="s">
        <v>125</v>
      </c>
    </row>
    <row r="300" spans="1:2" x14ac:dyDescent="0.25">
      <c r="A300" t="s">
        <v>502</v>
      </c>
      <c r="B300" t="s">
        <v>125</v>
      </c>
    </row>
    <row r="301" spans="1:2" x14ac:dyDescent="0.25">
      <c r="A301" t="s">
        <v>503</v>
      </c>
      <c r="B301" t="s">
        <v>125</v>
      </c>
    </row>
    <row r="302" spans="1:2" x14ac:dyDescent="0.25">
      <c r="A302" t="s">
        <v>504</v>
      </c>
      <c r="B302" t="s">
        <v>125</v>
      </c>
    </row>
    <row r="303" spans="1:2" x14ac:dyDescent="0.25">
      <c r="A303" t="s">
        <v>505</v>
      </c>
      <c r="B303" t="s">
        <v>125</v>
      </c>
    </row>
    <row r="304" spans="1:2" x14ac:dyDescent="0.25">
      <c r="A304" t="s">
        <v>506</v>
      </c>
      <c r="B304" t="s">
        <v>125</v>
      </c>
    </row>
    <row r="305" spans="1:2" x14ac:dyDescent="0.25">
      <c r="A305" t="s">
        <v>507</v>
      </c>
      <c r="B305" t="s">
        <v>125</v>
      </c>
    </row>
    <row r="306" spans="1:2" x14ac:dyDescent="0.25">
      <c r="A306" t="s">
        <v>508</v>
      </c>
      <c r="B306" t="s">
        <v>125</v>
      </c>
    </row>
    <row r="307" spans="1:2" x14ac:dyDescent="0.25">
      <c r="A307" t="s">
        <v>509</v>
      </c>
      <c r="B307" t="s">
        <v>125</v>
      </c>
    </row>
    <row r="308" spans="1:2" x14ac:dyDescent="0.25">
      <c r="A308" t="s">
        <v>510</v>
      </c>
      <c r="B308" t="s">
        <v>125</v>
      </c>
    </row>
    <row r="309" spans="1:2" x14ac:dyDescent="0.25">
      <c r="A309" t="s">
        <v>511</v>
      </c>
      <c r="B309" t="s">
        <v>125</v>
      </c>
    </row>
    <row r="310" spans="1:2" x14ac:dyDescent="0.25">
      <c r="A310" t="s">
        <v>512</v>
      </c>
      <c r="B310" t="s">
        <v>125</v>
      </c>
    </row>
    <row r="311" spans="1:2" x14ac:dyDescent="0.25">
      <c r="A311" t="s">
        <v>513</v>
      </c>
      <c r="B311" t="s">
        <v>125</v>
      </c>
    </row>
    <row r="312" spans="1:2" x14ac:dyDescent="0.25">
      <c r="A312" t="s">
        <v>514</v>
      </c>
      <c r="B312" t="s">
        <v>125</v>
      </c>
    </row>
    <row r="313" spans="1:2" x14ac:dyDescent="0.25">
      <c r="A313" t="s">
        <v>515</v>
      </c>
      <c r="B313" t="s">
        <v>125</v>
      </c>
    </row>
    <row r="314" spans="1:2" x14ac:dyDescent="0.25">
      <c r="A314" t="s">
        <v>516</v>
      </c>
      <c r="B314" t="s">
        <v>125</v>
      </c>
    </row>
    <row r="315" spans="1:2" x14ac:dyDescent="0.25">
      <c r="A315" t="s">
        <v>517</v>
      </c>
      <c r="B315" t="s">
        <v>125</v>
      </c>
    </row>
    <row r="316" spans="1:2" x14ac:dyDescent="0.25">
      <c r="A316" t="s">
        <v>518</v>
      </c>
      <c r="B316" t="s">
        <v>125</v>
      </c>
    </row>
    <row r="317" spans="1:2" x14ac:dyDescent="0.25">
      <c r="A317" t="s">
        <v>519</v>
      </c>
      <c r="B317" t="s">
        <v>125</v>
      </c>
    </row>
    <row r="318" spans="1:2" x14ac:dyDescent="0.25">
      <c r="A318" t="s">
        <v>520</v>
      </c>
      <c r="B318" t="s">
        <v>125</v>
      </c>
    </row>
    <row r="319" spans="1:2" x14ac:dyDescent="0.25">
      <c r="A319" t="s">
        <v>182</v>
      </c>
      <c r="B319" t="s">
        <v>125</v>
      </c>
    </row>
    <row r="320" spans="1:2" x14ac:dyDescent="0.25">
      <c r="A320" t="s">
        <v>521</v>
      </c>
      <c r="B320" t="s">
        <v>125</v>
      </c>
    </row>
    <row r="321" spans="1:2" x14ac:dyDescent="0.25">
      <c r="A321" t="s">
        <v>522</v>
      </c>
      <c r="B321" t="s">
        <v>125</v>
      </c>
    </row>
    <row r="322" spans="1:2" x14ac:dyDescent="0.25">
      <c r="A322" t="s">
        <v>523</v>
      </c>
      <c r="B322" t="s">
        <v>125</v>
      </c>
    </row>
    <row r="323" spans="1:2" x14ac:dyDescent="0.25">
      <c r="A323" t="s">
        <v>524</v>
      </c>
      <c r="B323" t="s">
        <v>125</v>
      </c>
    </row>
    <row r="324" spans="1:2" x14ac:dyDescent="0.25">
      <c r="A324" t="s">
        <v>525</v>
      </c>
      <c r="B324" t="s">
        <v>125</v>
      </c>
    </row>
    <row r="325" spans="1:2" x14ac:dyDescent="0.25">
      <c r="A325" t="s">
        <v>526</v>
      </c>
      <c r="B325" t="s">
        <v>125</v>
      </c>
    </row>
    <row r="326" spans="1:2" x14ac:dyDescent="0.25">
      <c r="A326" t="s">
        <v>527</v>
      </c>
      <c r="B326" t="s">
        <v>125</v>
      </c>
    </row>
    <row r="327" spans="1:2" x14ac:dyDescent="0.25">
      <c r="A327" t="s">
        <v>528</v>
      </c>
      <c r="B327" t="s">
        <v>125</v>
      </c>
    </row>
    <row r="328" spans="1:2" x14ac:dyDescent="0.25">
      <c r="A328" t="s">
        <v>529</v>
      </c>
      <c r="B328" t="s">
        <v>125</v>
      </c>
    </row>
    <row r="329" spans="1:2" x14ac:dyDescent="0.25">
      <c r="A329" t="s">
        <v>530</v>
      </c>
      <c r="B329" t="s">
        <v>125</v>
      </c>
    </row>
    <row r="330" spans="1:2" x14ac:dyDescent="0.25">
      <c r="A330" t="s">
        <v>531</v>
      </c>
      <c r="B330" t="s">
        <v>125</v>
      </c>
    </row>
    <row r="331" spans="1:2" x14ac:dyDescent="0.25">
      <c r="A331" t="s">
        <v>532</v>
      </c>
      <c r="B331" t="s">
        <v>125</v>
      </c>
    </row>
    <row r="332" spans="1:2" x14ac:dyDescent="0.25">
      <c r="A332" t="s">
        <v>533</v>
      </c>
      <c r="B332" t="s">
        <v>125</v>
      </c>
    </row>
    <row r="333" spans="1:2" x14ac:dyDescent="0.25">
      <c r="A333" t="s">
        <v>534</v>
      </c>
      <c r="B333" t="s">
        <v>125</v>
      </c>
    </row>
    <row r="334" spans="1:2" x14ac:dyDescent="0.25">
      <c r="A334" t="s">
        <v>535</v>
      </c>
      <c r="B334" t="s">
        <v>125</v>
      </c>
    </row>
    <row r="335" spans="1:2" x14ac:dyDescent="0.25">
      <c r="A335" t="s">
        <v>536</v>
      </c>
      <c r="B335" t="s">
        <v>125</v>
      </c>
    </row>
    <row r="336" spans="1:2" x14ac:dyDescent="0.25">
      <c r="A336" t="s">
        <v>537</v>
      </c>
      <c r="B336" t="s">
        <v>125</v>
      </c>
    </row>
    <row r="337" spans="1:2" x14ac:dyDescent="0.25">
      <c r="A337" t="s">
        <v>538</v>
      </c>
      <c r="B337" t="s">
        <v>125</v>
      </c>
    </row>
    <row r="338" spans="1:2" x14ac:dyDescent="0.25">
      <c r="A338" t="s">
        <v>539</v>
      </c>
      <c r="B338" t="s">
        <v>125</v>
      </c>
    </row>
    <row r="339" spans="1:2" x14ac:dyDescent="0.25">
      <c r="A339" t="s">
        <v>540</v>
      </c>
      <c r="B339" t="s">
        <v>125</v>
      </c>
    </row>
    <row r="340" spans="1:2" x14ac:dyDescent="0.25">
      <c r="A340" t="s">
        <v>541</v>
      </c>
      <c r="B340" t="s">
        <v>125</v>
      </c>
    </row>
    <row r="341" spans="1:2" x14ac:dyDescent="0.25">
      <c r="A341" t="s">
        <v>542</v>
      </c>
      <c r="B341" t="s">
        <v>125</v>
      </c>
    </row>
    <row r="342" spans="1:2" x14ac:dyDescent="0.25">
      <c r="A342" t="s">
        <v>543</v>
      </c>
      <c r="B342" t="s">
        <v>125</v>
      </c>
    </row>
    <row r="343" spans="1:2" x14ac:dyDescent="0.25">
      <c r="A343" t="s">
        <v>544</v>
      </c>
      <c r="B343" t="s">
        <v>125</v>
      </c>
    </row>
    <row r="344" spans="1:2" x14ac:dyDescent="0.25">
      <c r="A344" t="s">
        <v>545</v>
      </c>
      <c r="B344" t="s">
        <v>125</v>
      </c>
    </row>
    <row r="345" spans="1:2" x14ac:dyDescent="0.25">
      <c r="A345" t="s">
        <v>546</v>
      </c>
      <c r="B345" t="s">
        <v>125</v>
      </c>
    </row>
    <row r="346" spans="1:2" x14ac:dyDescent="0.25">
      <c r="A346" t="s">
        <v>547</v>
      </c>
      <c r="B346" t="s">
        <v>125</v>
      </c>
    </row>
    <row r="347" spans="1:2" x14ac:dyDescent="0.25">
      <c r="A347" t="s">
        <v>548</v>
      </c>
      <c r="B347" t="s">
        <v>125</v>
      </c>
    </row>
    <row r="348" spans="1:2" x14ac:dyDescent="0.25">
      <c r="A348" t="s">
        <v>549</v>
      </c>
      <c r="B348" t="s">
        <v>125</v>
      </c>
    </row>
    <row r="349" spans="1:2" x14ac:dyDescent="0.25">
      <c r="A349" t="s">
        <v>550</v>
      </c>
      <c r="B349" t="s">
        <v>125</v>
      </c>
    </row>
    <row r="350" spans="1:2" x14ac:dyDescent="0.25">
      <c r="A350" t="s">
        <v>551</v>
      </c>
      <c r="B350" t="s">
        <v>125</v>
      </c>
    </row>
    <row r="351" spans="1:2" x14ac:dyDescent="0.25">
      <c r="A351" t="s">
        <v>552</v>
      </c>
      <c r="B351" t="s">
        <v>125</v>
      </c>
    </row>
    <row r="352" spans="1:2" x14ac:dyDescent="0.25">
      <c r="A352" t="s">
        <v>553</v>
      </c>
      <c r="B352" t="s">
        <v>125</v>
      </c>
    </row>
    <row r="353" spans="1:2" x14ac:dyDescent="0.25">
      <c r="A353" t="s">
        <v>554</v>
      </c>
      <c r="B353" t="s">
        <v>125</v>
      </c>
    </row>
    <row r="354" spans="1:2" x14ac:dyDescent="0.25">
      <c r="A354" t="s">
        <v>555</v>
      </c>
      <c r="B354" t="s">
        <v>125</v>
      </c>
    </row>
    <row r="355" spans="1:2" x14ac:dyDescent="0.25">
      <c r="A355" t="s">
        <v>556</v>
      </c>
      <c r="B355" t="s">
        <v>125</v>
      </c>
    </row>
    <row r="356" spans="1:2" x14ac:dyDescent="0.25">
      <c r="A356" t="s">
        <v>557</v>
      </c>
      <c r="B356" t="s">
        <v>125</v>
      </c>
    </row>
    <row r="357" spans="1:2" x14ac:dyDescent="0.25">
      <c r="A357" t="s">
        <v>558</v>
      </c>
      <c r="B357" t="s">
        <v>125</v>
      </c>
    </row>
    <row r="358" spans="1:2" x14ac:dyDescent="0.25">
      <c r="A358" t="s">
        <v>559</v>
      </c>
      <c r="B358" t="s">
        <v>125</v>
      </c>
    </row>
    <row r="359" spans="1:2" x14ac:dyDescent="0.25">
      <c r="A359" t="s">
        <v>560</v>
      </c>
      <c r="B359" t="s">
        <v>125</v>
      </c>
    </row>
    <row r="360" spans="1:2" x14ac:dyDescent="0.25">
      <c r="A360" t="s">
        <v>561</v>
      </c>
      <c r="B360" t="s">
        <v>125</v>
      </c>
    </row>
    <row r="361" spans="1:2" x14ac:dyDescent="0.25">
      <c r="A361" t="s">
        <v>562</v>
      </c>
      <c r="B361" t="s">
        <v>125</v>
      </c>
    </row>
    <row r="362" spans="1:2" x14ac:dyDescent="0.25">
      <c r="A362" t="s">
        <v>563</v>
      </c>
      <c r="B362" t="s">
        <v>125</v>
      </c>
    </row>
    <row r="363" spans="1:2" x14ac:dyDescent="0.25">
      <c r="A363" t="s">
        <v>564</v>
      </c>
      <c r="B363" t="s">
        <v>125</v>
      </c>
    </row>
    <row r="364" spans="1:2" x14ac:dyDescent="0.25">
      <c r="A364" t="s">
        <v>565</v>
      </c>
      <c r="B364" t="s">
        <v>125</v>
      </c>
    </row>
    <row r="365" spans="1:2" x14ac:dyDescent="0.25">
      <c r="A365" t="s">
        <v>566</v>
      </c>
      <c r="B365" t="s">
        <v>125</v>
      </c>
    </row>
    <row r="366" spans="1:2" x14ac:dyDescent="0.25">
      <c r="A366" t="s">
        <v>567</v>
      </c>
      <c r="B366" t="s">
        <v>125</v>
      </c>
    </row>
    <row r="367" spans="1:2" x14ac:dyDescent="0.25">
      <c r="A367" t="s">
        <v>568</v>
      </c>
      <c r="B367" t="s">
        <v>125</v>
      </c>
    </row>
    <row r="368" spans="1:2" x14ac:dyDescent="0.25">
      <c r="A368" t="s">
        <v>569</v>
      </c>
      <c r="B368" t="s">
        <v>125</v>
      </c>
    </row>
    <row r="369" spans="1:2" x14ac:dyDescent="0.25">
      <c r="A369" t="s">
        <v>570</v>
      </c>
      <c r="B369" t="s">
        <v>125</v>
      </c>
    </row>
    <row r="370" spans="1:2" x14ac:dyDescent="0.25">
      <c r="A370" t="s">
        <v>571</v>
      </c>
      <c r="B370" t="s">
        <v>125</v>
      </c>
    </row>
    <row r="371" spans="1:2" x14ac:dyDescent="0.25">
      <c r="A371" t="s">
        <v>572</v>
      </c>
      <c r="B371" t="s">
        <v>125</v>
      </c>
    </row>
    <row r="372" spans="1:2" x14ac:dyDescent="0.25">
      <c r="A372" t="s">
        <v>573</v>
      </c>
      <c r="B372" t="s">
        <v>125</v>
      </c>
    </row>
    <row r="373" spans="1:2" x14ac:dyDescent="0.25">
      <c r="A373" t="s">
        <v>574</v>
      </c>
      <c r="B373" t="s">
        <v>125</v>
      </c>
    </row>
    <row r="374" spans="1:2" x14ac:dyDescent="0.25">
      <c r="A374" t="s">
        <v>575</v>
      </c>
      <c r="B374" t="s">
        <v>125</v>
      </c>
    </row>
    <row r="375" spans="1:2" x14ac:dyDescent="0.25">
      <c r="A375" t="s">
        <v>576</v>
      </c>
      <c r="B375" t="s">
        <v>125</v>
      </c>
    </row>
    <row r="376" spans="1:2" x14ac:dyDescent="0.25">
      <c r="A376" t="s">
        <v>577</v>
      </c>
      <c r="B376" t="s">
        <v>125</v>
      </c>
    </row>
    <row r="377" spans="1:2" x14ac:dyDescent="0.25">
      <c r="A377" t="s">
        <v>578</v>
      </c>
      <c r="B377" t="s">
        <v>125</v>
      </c>
    </row>
    <row r="378" spans="1:2" x14ac:dyDescent="0.25">
      <c r="A378" t="s">
        <v>579</v>
      </c>
      <c r="B378" t="s">
        <v>125</v>
      </c>
    </row>
    <row r="379" spans="1:2" x14ac:dyDescent="0.25">
      <c r="A379" t="s">
        <v>580</v>
      </c>
      <c r="B379" t="s">
        <v>125</v>
      </c>
    </row>
    <row r="380" spans="1:2" x14ac:dyDescent="0.25">
      <c r="A380" t="s">
        <v>581</v>
      </c>
      <c r="B380" t="s">
        <v>125</v>
      </c>
    </row>
    <row r="381" spans="1:2" x14ac:dyDescent="0.25">
      <c r="A381" t="s">
        <v>582</v>
      </c>
      <c r="B381" t="s">
        <v>125</v>
      </c>
    </row>
    <row r="382" spans="1:2" x14ac:dyDescent="0.25">
      <c r="A382" t="s">
        <v>583</v>
      </c>
      <c r="B382" t="s">
        <v>125</v>
      </c>
    </row>
    <row r="383" spans="1:2" x14ac:dyDescent="0.25">
      <c r="A383" t="s">
        <v>584</v>
      </c>
      <c r="B383" t="s">
        <v>125</v>
      </c>
    </row>
    <row r="384" spans="1:2" x14ac:dyDescent="0.25">
      <c r="A384" t="s">
        <v>585</v>
      </c>
      <c r="B384" t="s">
        <v>125</v>
      </c>
    </row>
    <row r="385" spans="1:2" x14ac:dyDescent="0.25">
      <c r="A385" t="s">
        <v>586</v>
      </c>
      <c r="B385" t="s">
        <v>125</v>
      </c>
    </row>
    <row r="386" spans="1:2" x14ac:dyDescent="0.25">
      <c r="A386" t="s">
        <v>587</v>
      </c>
      <c r="B386" t="s">
        <v>125</v>
      </c>
    </row>
    <row r="387" spans="1:2" x14ac:dyDescent="0.25">
      <c r="A387" t="s">
        <v>588</v>
      </c>
      <c r="B387" t="s">
        <v>125</v>
      </c>
    </row>
    <row r="388" spans="1:2" x14ac:dyDescent="0.25">
      <c r="A388" t="s">
        <v>589</v>
      </c>
      <c r="B388" t="s">
        <v>125</v>
      </c>
    </row>
    <row r="389" spans="1:2" x14ac:dyDescent="0.25">
      <c r="A389" t="s">
        <v>161</v>
      </c>
      <c r="B389" t="s">
        <v>125</v>
      </c>
    </row>
    <row r="390" spans="1:2" x14ac:dyDescent="0.25">
      <c r="A390" t="s">
        <v>590</v>
      </c>
      <c r="B390" t="s">
        <v>125</v>
      </c>
    </row>
    <row r="391" spans="1:2" x14ac:dyDescent="0.25">
      <c r="A391" t="s">
        <v>591</v>
      </c>
      <c r="B391" t="s">
        <v>125</v>
      </c>
    </row>
    <row r="392" spans="1:2" x14ac:dyDescent="0.25">
      <c r="A392" t="s">
        <v>592</v>
      </c>
      <c r="B392" t="s">
        <v>125</v>
      </c>
    </row>
    <row r="393" spans="1:2" x14ac:dyDescent="0.25">
      <c r="A393" t="s">
        <v>593</v>
      </c>
      <c r="B393" t="s">
        <v>125</v>
      </c>
    </row>
    <row r="394" spans="1:2" x14ac:dyDescent="0.25">
      <c r="A394" t="s">
        <v>187</v>
      </c>
      <c r="B394" t="s">
        <v>125</v>
      </c>
    </row>
    <row r="395" spans="1:2" x14ac:dyDescent="0.25">
      <c r="A395" t="s">
        <v>594</v>
      </c>
      <c r="B395" t="s">
        <v>125</v>
      </c>
    </row>
    <row r="396" spans="1:2" x14ac:dyDescent="0.25">
      <c r="A396" t="s">
        <v>595</v>
      </c>
      <c r="B396" t="s">
        <v>125</v>
      </c>
    </row>
    <row r="397" spans="1:2" x14ac:dyDescent="0.25">
      <c r="A397" t="s">
        <v>596</v>
      </c>
      <c r="B397" t="s">
        <v>125</v>
      </c>
    </row>
    <row r="398" spans="1:2" x14ac:dyDescent="0.25">
      <c r="A398" t="s">
        <v>597</v>
      </c>
      <c r="B398" t="s">
        <v>125</v>
      </c>
    </row>
    <row r="399" spans="1:2" x14ac:dyDescent="0.25">
      <c r="A399" t="s">
        <v>598</v>
      </c>
      <c r="B399" t="s">
        <v>125</v>
      </c>
    </row>
    <row r="400" spans="1:2" x14ac:dyDescent="0.25">
      <c r="A400" t="s">
        <v>599</v>
      </c>
      <c r="B400" t="s">
        <v>125</v>
      </c>
    </row>
    <row r="401" spans="1:2" x14ac:dyDescent="0.25">
      <c r="A401" t="s">
        <v>600</v>
      </c>
      <c r="B401" t="s">
        <v>125</v>
      </c>
    </row>
    <row r="402" spans="1:2" x14ac:dyDescent="0.25">
      <c r="A402" t="s">
        <v>601</v>
      </c>
      <c r="B402" t="s">
        <v>125</v>
      </c>
    </row>
    <row r="403" spans="1:2" x14ac:dyDescent="0.25">
      <c r="A403" t="s">
        <v>602</v>
      </c>
      <c r="B403" t="s">
        <v>125</v>
      </c>
    </row>
    <row r="404" spans="1:2" x14ac:dyDescent="0.25">
      <c r="A404" t="s">
        <v>603</v>
      </c>
      <c r="B404" t="s">
        <v>125</v>
      </c>
    </row>
    <row r="405" spans="1:2" x14ac:dyDescent="0.25">
      <c r="A405" t="s">
        <v>604</v>
      </c>
      <c r="B405" t="s">
        <v>125</v>
      </c>
    </row>
    <row r="406" spans="1:2" x14ac:dyDescent="0.25">
      <c r="A406" t="s">
        <v>605</v>
      </c>
      <c r="B406" t="s">
        <v>125</v>
      </c>
    </row>
    <row r="407" spans="1:2" x14ac:dyDescent="0.25">
      <c r="A407" t="s">
        <v>606</v>
      </c>
      <c r="B407" t="s">
        <v>125</v>
      </c>
    </row>
    <row r="408" spans="1:2" x14ac:dyDescent="0.25">
      <c r="A408" t="s">
        <v>607</v>
      </c>
      <c r="B408" t="s">
        <v>125</v>
      </c>
    </row>
    <row r="409" spans="1:2" x14ac:dyDescent="0.25">
      <c r="A409" t="s">
        <v>608</v>
      </c>
      <c r="B409" t="s">
        <v>125</v>
      </c>
    </row>
    <row r="410" spans="1:2" x14ac:dyDescent="0.25">
      <c r="A410" t="s">
        <v>609</v>
      </c>
      <c r="B410" t="s">
        <v>125</v>
      </c>
    </row>
    <row r="411" spans="1:2" x14ac:dyDescent="0.25">
      <c r="A411" t="s">
        <v>610</v>
      </c>
      <c r="B411" t="s">
        <v>125</v>
      </c>
    </row>
    <row r="412" spans="1:2" x14ac:dyDescent="0.25">
      <c r="A412" t="s">
        <v>611</v>
      </c>
      <c r="B412" t="s">
        <v>125</v>
      </c>
    </row>
    <row r="413" spans="1:2" x14ac:dyDescent="0.25">
      <c r="A413" t="s">
        <v>612</v>
      </c>
      <c r="B413" t="s">
        <v>125</v>
      </c>
    </row>
    <row r="414" spans="1:2" x14ac:dyDescent="0.25">
      <c r="A414" t="s">
        <v>613</v>
      </c>
      <c r="B414" t="s">
        <v>125</v>
      </c>
    </row>
    <row r="415" spans="1:2" x14ac:dyDescent="0.25">
      <c r="A415" t="s">
        <v>614</v>
      </c>
      <c r="B415" t="s">
        <v>125</v>
      </c>
    </row>
    <row r="416" spans="1:2" x14ac:dyDescent="0.25">
      <c r="A416" t="s">
        <v>615</v>
      </c>
      <c r="B416" t="s">
        <v>125</v>
      </c>
    </row>
    <row r="417" spans="1:2" x14ac:dyDescent="0.25">
      <c r="A417" t="s">
        <v>616</v>
      </c>
      <c r="B417" t="s">
        <v>125</v>
      </c>
    </row>
    <row r="418" spans="1:2" x14ac:dyDescent="0.25">
      <c r="A418" t="s">
        <v>617</v>
      </c>
      <c r="B418" t="s">
        <v>125</v>
      </c>
    </row>
    <row r="419" spans="1:2" x14ac:dyDescent="0.25">
      <c r="A419" t="s">
        <v>618</v>
      </c>
      <c r="B419" t="s">
        <v>125</v>
      </c>
    </row>
    <row r="420" spans="1:2" x14ac:dyDescent="0.25">
      <c r="A420" t="s">
        <v>619</v>
      </c>
      <c r="B420" t="s">
        <v>125</v>
      </c>
    </row>
    <row r="421" spans="1:2" x14ac:dyDescent="0.25">
      <c r="A421" t="s">
        <v>620</v>
      </c>
      <c r="B421" t="s">
        <v>125</v>
      </c>
    </row>
    <row r="422" spans="1:2" x14ac:dyDescent="0.25">
      <c r="A422" t="s">
        <v>621</v>
      </c>
      <c r="B422" t="s">
        <v>125</v>
      </c>
    </row>
    <row r="423" spans="1:2" x14ac:dyDescent="0.25">
      <c r="A423" t="s">
        <v>622</v>
      </c>
      <c r="B423" t="s">
        <v>125</v>
      </c>
    </row>
    <row r="424" spans="1:2" x14ac:dyDescent="0.25">
      <c r="A424" t="s">
        <v>623</v>
      </c>
      <c r="B424" t="s">
        <v>125</v>
      </c>
    </row>
    <row r="425" spans="1:2" x14ac:dyDescent="0.25">
      <c r="A425" t="s">
        <v>624</v>
      </c>
      <c r="B425" t="s">
        <v>125</v>
      </c>
    </row>
    <row r="426" spans="1:2" x14ac:dyDescent="0.25">
      <c r="A426" t="s">
        <v>625</v>
      </c>
      <c r="B426" t="s">
        <v>125</v>
      </c>
    </row>
    <row r="427" spans="1:2" x14ac:dyDescent="0.25">
      <c r="A427" t="s">
        <v>626</v>
      </c>
      <c r="B427" t="s">
        <v>125</v>
      </c>
    </row>
    <row r="428" spans="1:2" x14ac:dyDescent="0.25">
      <c r="A428" t="s">
        <v>627</v>
      </c>
      <c r="B428" t="s">
        <v>125</v>
      </c>
    </row>
    <row r="429" spans="1:2" x14ac:dyDescent="0.25">
      <c r="A429" t="s">
        <v>628</v>
      </c>
      <c r="B429" t="s">
        <v>125</v>
      </c>
    </row>
    <row r="430" spans="1:2" x14ac:dyDescent="0.25">
      <c r="A430" t="s">
        <v>629</v>
      </c>
      <c r="B430" t="s">
        <v>125</v>
      </c>
    </row>
    <row r="431" spans="1:2" x14ac:dyDescent="0.25">
      <c r="A431" t="s">
        <v>630</v>
      </c>
      <c r="B431" t="s">
        <v>125</v>
      </c>
    </row>
    <row r="432" spans="1:2" x14ac:dyDescent="0.25">
      <c r="A432" t="s">
        <v>631</v>
      </c>
      <c r="B432" t="s">
        <v>125</v>
      </c>
    </row>
    <row r="433" spans="1:2" x14ac:dyDescent="0.25">
      <c r="A433" t="s">
        <v>632</v>
      </c>
      <c r="B433" t="s">
        <v>125</v>
      </c>
    </row>
    <row r="434" spans="1:2" x14ac:dyDescent="0.25">
      <c r="A434" t="s">
        <v>633</v>
      </c>
      <c r="B434" t="s">
        <v>125</v>
      </c>
    </row>
    <row r="435" spans="1:2" x14ac:dyDescent="0.25">
      <c r="A435" t="s">
        <v>634</v>
      </c>
      <c r="B435" t="s">
        <v>125</v>
      </c>
    </row>
    <row r="436" spans="1:2" x14ac:dyDescent="0.25">
      <c r="A436" t="s">
        <v>635</v>
      </c>
      <c r="B436" t="s">
        <v>125</v>
      </c>
    </row>
    <row r="437" spans="1:2" x14ac:dyDescent="0.25">
      <c r="A437" t="s">
        <v>636</v>
      </c>
      <c r="B437" t="s">
        <v>125</v>
      </c>
    </row>
    <row r="438" spans="1:2" x14ac:dyDescent="0.25">
      <c r="A438" t="s">
        <v>637</v>
      </c>
      <c r="B438" t="s">
        <v>125</v>
      </c>
    </row>
    <row r="439" spans="1:2" x14ac:dyDescent="0.25">
      <c r="A439" t="s">
        <v>638</v>
      </c>
      <c r="B439" t="s">
        <v>125</v>
      </c>
    </row>
    <row r="440" spans="1:2" x14ac:dyDescent="0.25">
      <c r="A440" t="s">
        <v>639</v>
      </c>
      <c r="B440" t="s">
        <v>125</v>
      </c>
    </row>
    <row r="441" spans="1:2" x14ac:dyDescent="0.25">
      <c r="A441" t="s">
        <v>640</v>
      </c>
      <c r="B441" t="s">
        <v>125</v>
      </c>
    </row>
    <row r="442" spans="1:2" x14ac:dyDescent="0.25">
      <c r="A442" t="s">
        <v>641</v>
      </c>
      <c r="B442" t="s">
        <v>125</v>
      </c>
    </row>
    <row r="443" spans="1:2" x14ac:dyDescent="0.25">
      <c r="A443" t="s">
        <v>642</v>
      </c>
      <c r="B443" t="s">
        <v>125</v>
      </c>
    </row>
    <row r="444" spans="1:2" x14ac:dyDescent="0.25">
      <c r="A444" t="s">
        <v>643</v>
      </c>
      <c r="B444" t="s">
        <v>125</v>
      </c>
    </row>
    <row r="445" spans="1:2" x14ac:dyDescent="0.25">
      <c r="A445" t="s">
        <v>644</v>
      </c>
      <c r="B445" t="s">
        <v>125</v>
      </c>
    </row>
    <row r="446" spans="1:2" x14ac:dyDescent="0.25">
      <c r="A446" t="s">
        <v>645</v>
      </c>
      <c r="B446" t="s">
        <v>125</v>
      </c>
    </row>
    <row r="447" spans="1:2" x14ac:dyDescent="0.25">
      <c r="A447" t="s">
        <v>646</v>
      </c>
      <c r="B447" t="s">
        <v>125</v>
      </c>
    </row>
    <row r="448" spans="1:2" x14ac:dyDescent="0.25">
      <c r="A448" t="s">
        <v>647</v>
      </c>
      <c r="B448" t="s">
        <v>125</v>
      </c>
    </row>
    <row r="449" spans="1:2" x14ac:dyDescent="0.25">
      <c r="A449" t="s">
        <v>648</v>
      </c>
      <c r="B449" t="s">
        <v>125</v>
      </c>
    </row>
    <row r="450" spans="1:2" x14ac:dyDescent="0.25">
      <c r="A450" t="s">
        <v>649</v>
      </c>
      <c r="B450" t="s">
        <v>125</v>
      </c>
    </row>
    <row r="451" spans="1:2" x14ac:dyDescent="0.25">
      <c r="A451" t="s">
        <v>650</v>
      </c>
      <c r="B451" t="s">
        <v>125</v>
      </c>
    </row>
    <row r="452" spans="1:2" x14ac:dyDescent="0.25">
      <c r="A452" t="s">
        <v>651</v>
      </c>
      <c r="B452" t="s">
        <v>125</v>
      </c>
    </row>
    <row r="453" spans="1:2" x14ac:dyDescent="0.25">
      <c r="A453" t="s">
        <v>652</v>
      </c>
      <c r="B453" t="s">
        <v>125</v>
      </c>
    </row>
    <row r="454" spans="1:2" x14ac:dyDescent="0.25">
      <c r="A454" t="s">
        <v>653</v>
      </c>
      <c r="B454" t="s">
        <v>125</v>
      </c>
    </row>
    <row r="455" spans="1:2" x14ac:dyDescent="0.25">
      <c r="A455" t="s">
        <v>654</v>
      </c>
      <c r="B455" t="s">
        <v>125</v>
      </c>
    </row>
    <row r="456" spans="1:2" x14ac:dyDescent="0.25">
      <c r="A456" t="s">
        <v>655</v>
      </c>
      <c r="B456" t="s">
        <v>125</v>
      </c>
    </row>
    <row r="457" spans="1:2" x14ac:dyDescent="0.25">
      <c r="A457" t="s">
        <v>656</v>
      </c>
      <c r="B457" t="s">
        <v>125</v>
      </c>
    </row>
    <row r="458" spans="1:2" x14ac:dyDescent="0.25">
      <c r="A458" t="s">
        <v>657</v>
      </c>
      <c r="B458" t="s">
        <v>125</v>
      </c>
    </row>
    <row r="459" spans="1:2" x14ac:dyDescent="0.25">
      <c r="A459" t="s">
        <v>658</v>
      </c>
      <c r="B459" t="s">
        <v>125</v>
      </c>
    </row>
    <row r="460" spans="1:2" x14ac:dyDescent="0.25">
      <c r="A460" t="s">
        <v>659</v>
      </c>
      <c r="B460" t="s">
        <v>125</v>
      </c>
    </row>
    <row r="461" spans="1:2" x14ac:dyDescent="0.25">
      <c r="A461" t="s">
        <v>660</v>
      </c>
      <c r="B461" t="s">
        <v>125</v>
      </c>
    </row>
    <row r="462" spans="1:2" x14ac:dyDescent="0.25">
      <c r="A462" t="s">
        <v>661</v>
      </c>
      <c r="B462" t="s">
        <v>125</v>
      </c>
    </row>
    <row r="463" spans="1:2" x14ac:dyDescent="0.25">
      <c r="A463" t="s">
        <v>662</v>
      </c>
      <c r="B463" t="s">
        <v>125</v>
      </c>
    </row>
    <row r="464" spans="1:2" x14ac:dyDescent="0.25">
      <c r="A464" t="s">
        <v>663</v>
      </c>
      <c r="B464" t="s">
        <v>125</v>
      </c>
    </row>
    <row r="465" spans="1:2" x14ac:dyDescent="0.25">
      <c r="A465" t="s">
        <v>664</v>
      </c>
      <c r="B465" t="s">
        <v>125</v>
      </c>
    </row>
    <row r="466" spans="1:2" x14ac:dyDescent="0.25">
      <c r="A466" t="s">
        <v>665</v>
      </c>
      <c r="B466" t="s">
        <v>125</v>
      </c>
    </row>
    <row r="467" spans="1:2" x14ac:dyDescent="0.25">
      <c r="A467" t="s">
        <v>666</v>
      </c>
      <c r="B467" t="s">
        <v>125</v>
      </c>
    </row>
    <row r="468" spans="1:2" x14ac:dyDescent="0.25">
      <c r="A468" t="s">
        <v>667</v>
      </c>
      <c r="B468" t="s">
        <v>125</v>
      </c>
    </row>
    <row r="469" spans="1:2" x14ac:dyDescent="0.25">
      <c r="A469" t="s">
        <v>668</v>
      </c>
      <c r="B469" t="s">
        <v>125</v>
      </c>
    </row>
    <row r="470" spans="1:2" x14ac:dyDescent="0.25">
      <c r="A470" t="s">
        <v>669</v>
      </c>
      <c r="B470" t="s">
        <v>125</v>
      </c>
    </row>
    <row r="471" spans="1:2" x14ac:dyDescent="0.25">
      <c r="A471" t="s">
        <v>670</v>
      </c>
      <c r="B471" t="s">
        <v>125</v>
      </c>
    </row>
    <row r="472" spans="1:2" x14ac:dyDescent="0.25">
      <c r="A472" t="s">
        <v>671</v>
      </c>
      <c r="B472" t="s">
        <v>125</v>
      </c>
    </row>
    <row r="473" spans="1:2" x14ac:dyDescent="0.25">
      <c r="A473" t="s">
        <v>163</v>
      </c>
      <c r="B473" t="s">
        <v>125</v>
      </c>
    </row>
    <row r="474" spans="1:2" x14ac:dyDescent="0.25">
      <c r="A474" t="s">
        <v>672</v>
      </c>
      <c r="B474" t="s">
        <v>125</v>
      </c>
    </row>
    <row r="475" spans="1:2" x14ac:dyDescent="0.25">
      <c r="A475" t="s">
        <v>673</v>
      </c>
      <c r="B475" t="s">
        <v>125</v>
      </c>
    </row>
    <row r="476" spans="1:2" x14ac:dyDescent="0.25">
      <c r="A476" t="s">
        <v>674</v>
      </c>
      <c r="B476" t="s">
        <v>125</v>
      </c>
    </row>
    <row r="477" spans="1:2" x14ac:dyDescent="0.25">
      <c r="A477" t="s">
        <v>675</v>
      </c>
      <c r="B477" t="s">
        <v>125</v>
      </c>
    </row>
    <row r="478" spans="1:2" x14ac:dyDescent="0.25">
      <c r="A478" t="s">
        <v>676</v>
      </c>
      <c r="B478" t="s">
        <v>125</v>
      </c>
    </row>
    <row r="479" spans="1:2" x14ac:dyDescent="0.25">
      <c r="A479" t="s">
        <v>677</v>
      </c>
      <c r="B479" t="s">
        <v>125</v>
      </c>
    </row>
    <row r="480" spans="1:2" x14ac:dyDescent="0.25">
      <c r="A480" t="s">
        <v>678</v>
      </c>
      <c r="B480" t="s">
        <v>125</v>
      </c>
    </row>
    <row r="481" spans="1:2" x14ac:dyDescent="0.25">
      <c r="A481" t="s">
        <v>679</v>
      </c>
      <c r="B481" t="s">
        <v>125</v>
      </c>
    </row>
    <row r="482" spans="1:2" x14ac:dyDescent="0.25">
      <c r="A482" t="s">
        <v>680</v>
      </c>
      <c r="B482" t="s">
        <v>125</v>
      </c>
    </row>
    <row r="483" spans="1:2" x14ac:dyDescent="0.25">
      <c r="A483" t="s">
        <v>681</v>
      </c>
      <c r="B483" t="s">
        <v>125</v>
      </c>
    </row>
    <row r="484" spans="1:2" x14ac:dyDescent="0.25">
      <c r="A484" t="s">
        <v>682</v>
      </c>
      <c r="B484" t="s">
        <v>125</v>
      </c>
    </row>
    <row r="485" spans="1:2" x14ac:dyDescent="0.25">
      <c r="A485" t="s">
        <v>683</v>
      </c>
      <c r="B485" t="s">
        <v>125</v>
      </c>
    </row>
    <row r="486" spans="1:2" x14ac:dyDescent="0.25">
      <c r="A486" t="s">
        <v>684</v>
      </c>
      <c r="B486" t="s">
        <v>125</v>
      </c>
    </row>
    <row r="487" spans="1:2" x14ac:dyDescent="0.25">
      <c r="A487" t="s">
        <v>685</v>
      </c>
      <c r="B487" t="s">
        <v>125</v>
      </c>
    </row>
    <row r="488" spans="1:2" x14ac:dyDescent="0.25">
      <c r="A488" t="s">
        <v>686</v>
      </c>
      <c r="B488" t="s">
        <v>125</v>
      </c>
    </row>
    <row r="489" spans="1:2" x14ac:dyDescent="0.25">
      <c r="A489" t="s">
        <v>687</v>
      </c>
      <c r="B489" t="s">
        <v>125</v>
      </c>
    </row>
    <row r="490" spans="1:2" x14ac:dyDescent="0.25">
      <c r="A490" t="s">
        <v>688</v>
      </c>
      <c r="B490" t="s">
        <v>125</v>
      </c>
    </row>
    <row r="491" spans="1:2" x14ac:dyDescent="0.25">
      <c r="A491" t="s">
        <v>689</v>
      </c>
      <c r="B491" t="s">
        <v>125</v>
      </c>
    </row>
    <row r="492" spans="1:2" x14ac:dyDescent="0.25">
      <c r="A492" t="s">
        <v>690</v>
      </c>
      <c r="B492" t="s">
        <v>125</v>
      </c>
    </row>
    <row r="493" spans="1:2" x14ac:dyDescent="0.25">
      <c r="A493" t="s">
        <v>691</v>
      </c>
      <c r="B493" t="s">
        <v>125</v>
      </c>
    </row>
    <row r="494" spans="1:2" x14ac:dyDescent="0.25">
      <c r="A494" t="s">
        <v>692</v>
      </c>
      <c r="B494" t="s">
        <v>125</v>
      </c>
    </row>
    <row r="495" spans="1:2" x14ac:dyDescent="0.25">
      <c r="A495" t="s">
        <v>693</v>
      </c>
      <c r="B495" t="s">
        <v>125</v>
      </c>
    </row>
    <row r="496" spans="1:2" x14ac:dyDescent="0.25">
      <c r="A496" t="s">
        <v>694</v>
      </c>
      <c r="B496" t="s">
        <v>125</v>
      </c>
    </row>
    <row r="497" spans="1:2" x14ac:dyDescent="0.25">
      <c r="A497" t="s">
        <v>695</v>
      </c>
      <c r="B497" t="s">
        <v>125</v>
      </c>
    </row>
    <row r="498" spans="1:2" x14ac:dyDescent="0.25">
      <c r="A498" t="s">
        <v>696</v>
      </c>
      <c r="B498" t="s">
        <v>125</v>
      </c>
    </row>
    <row r="499" spans="1:2" x14ac:dyDescent="0.25">
      <c r="A499" t="s">
        <v>697</v>
      </c>
      <c r="B499" t="s">
        <v>125</v>
      </c>
    </row>
    <row r="500" spans="1:2" x14ac:dyDescent="0.25">
      <c r="A500" t="s">
        <v>698</v>
      </c>
      <c r="B500" t="s">
        <v>125</v>
      </c>
    </row>
    <row r="501" spans="1:2" x14ac:dyDescent="0.25">
      <c r="A501" t="s">
        <v>699</v>
      </c>
      <c r="B501" t="s">
        <v>125</v>
      </c>
    </row>
    <row r="502" spans="1:2" x14ac:dyDescent="0.25">
      <c r="A502" t="s">
        <v>700</v>
      </c>
      <c r="B502" t="s">
        <v>125</v>
      </c>
    </row>
    <row r="503" spans="1:2" x14ac:dyDescent="0.25">
      <c r="A503" t="s">
        <v>701</v>
      </c>
      <c r="B503" t="s">
        <v>125</v>
      </c>
    </row>
    <row r="504" spans="1:2" x14ac:dyDescent="0.25">
      <c r="A504" t="s">
        <v>702</v>
      </c>
      <c r="B504" t="s">
        <v>125</v>
      </c>
    </row>
    <row r="505" spans="1:2" x14ac:dyDescent="0.25">
      <c r="A505" t="s">
        <v>703</v>
      </c>
      <c r="B505" t="s">
        <v>125</v>
      </c>
    </row>
    <row r="506" spans="1:2" x14ac:dyDescent="0.25">
      <c r="A506" t="s">
        <v>704</v>
      </c>
      <c r="B506" t="s">
        <v>125</v>
      </c>
    </row>
    <row r="507" spans="1:2" x14ac:dyDescent="0.25">
      <c r="A507" t="s">
        <v>705</v>
      </c>
      <c r="B507" t="s">
        <v>125</v>
      </c>
    </row>
    <row r="508" spans="1:2" x14ac:dyDescent="0.25">
      <c r="A508" t="s">
        <v>706</v>
      </c>
      <c r="B508" t="s">
        <v>125</v>
      </c>
    </row>
    <row r="509" spans="1:2" x14ac:dyDescent="0.25">
      <c r="A509" t="s">
        <v>707</v>
      </c>
      <c r="B509" t="s">
        <v>125</v>
      </c>
    </row>
    <row r="510" spans="1:2" x14ac:dyDescent="0.25">
      <c r="A510" t="s">
        <v>708</v>
      </c>
      <c r="B510" t="s">
        <v>125</v>
      </c>
    </row>
    <row r="511" spans="1:2" x14ac:dyDescent="0.25">
      <c r="A511" t="s">
        <v>709</v>
      </c>
      <c r="B511" t="s">
        <v>125</v>
      </c>
    </row>
    <row r="512" spans="1:2" x14ac:dyDescent="0.25">
      <c r="A512" t="s">
        <v>710</v>
      </c>
      <c r="B512" t="s">
        <v>125</v>
      </c>
    </row>
    <row r="513" spans="1:2" x14ac:dyDescent="0.25">
      <c r="A513" t="s">
        <v>711</v>
      </c>
      <c r="B513" t="s">
        <v>125</v>
      </c>
    </row>
    <row r="514" spans="1:2" x14ac:dyDescent="0.25">
      <c r="A514" t="s">
        <v>712</v>
      </c>
      <c r="B514" t="s">
        <v>125</v>
      </c>
    </row>
    <row r="515" spans="1:2" x14ac:dyDescent="0.25">
      <c r="A515" t="s">
        <v>713</v>
      </c>
      <c r="B515" t="s">
        <v>125</v>
      </c>
    </row>
    <row r="516" spans="1:2" x14ac:dyDescent="0.25">
      <c r="A516" t="s">
        <v>714</v>
      </c>
      <c r="B516" t="s">
        <v>125</v>
      </c>
    </row>
    <row r="517" spans="1:2" x14ac:dyDescent="0.25">
      <c r="A517" t="s">
        <v>715</v>
      </c>
      <c r="B517" t="s">
        <v>125</v>
      </c>
    </row>
    <row r="518" spans="1:2" x14ac:dyDescent="0.25">
      <c r="A518" t="s">
        <v>716</v>
      </c>
      <c r="B518" t="s">
        <v>125</v>
      </c>
    </row>
    <row r="519" spans="1:2" x14ac:dyDescent="0.25">
      <c r="A519" t="s">
        <v>717</v>
      </c>
      <c r="B519" t="s">
        <v>125</v>
      </c>
    </row>
    <row r="520" spans="1:2" x14ac:dyDescent="0.25">
      <c r="A520" t="s">
        <v>718</v>
      </c>
      <c r="B520" t="s">
        <v>125</v>
      </c>
    </row>
    <row r="521" spans="1:2" x14ac:dyDescent="0.25">
      <c r="A521" t="s">
        <v>719</v>
      </c>
      <c r="B521" t="s">
        <v>125</v>
      </c>
    </row>
    <row r="522" spans="1:2" x14ac:dyDescent="0.25">
      <c r="A522" t="s">
        <v>720</v>
      </c>
      <c r="B522" t="s">
        <v>125</v>
      </c>
    </row>
    <row r="523" spans="1:2" x14ac:dyDescent="0.25">
      <c r="A523" t="s">
        <v>721</v>
      </c>
      <c r="B523" t="s">
        <v>125</v>
      </c>
    </row>
    <row r="524" spans="1:2" x14ac:dyDescent="0.25">
      <c r="A524" t="s">
        <v>722</v>
      </c>
      <c r="B524" t="s">
        <v>125</v>
      </c>
    </row>
    <row r="525" spans="1:2" x14ac:dyDescent="0.25">
      <c r="A525" t="s">
        <v>723</v>
      </c>
      <c r="B525" t="s">
        <v>125</v>
      </c>
    </row>
    <row r="526" spans="1:2" x14ac:dyDescent="0.25">
      <c r="A526" t="s">
        <v>724</v>
      </c>
      <c r="B526" t="s">
        <v>125</v>
      </c>
    </row>
    <row r="527" spans="1:2" x14ac:dyDescent="0.25">
      <c r="A527" t="s">
        <v>725</v>
      </c>
      <c r="B527" t="s">
        <v>125</v>
      </c>
    </row>
    <row r="528" spans="1:2" x14ac:dyDescent="0.25">
      <c r="A528" t="s">
        <v>726</v>
      </c>
      <c r="B528" t="s">
        <v>125</v>
      </c>
    </row>
    <row r="529" spans="1:2" x14ac:dyDescent="0.25">
      <c r="A529" t="s">
        <v>727</v>
      </c>
      <c r="B529" t="s">
        <v>125</v>
      </c>
    </row>
    <row r="530" spans="1:2" x14ac:dyDescent="0.25">
      <c r="A530" t="s">
        <v>728</v>
      </c>
      <c r="B530" t="s">
        <v>125</v>
      </c>
    </row>
    <row r="531" spans="1:2" x14ac:dyDescent="0.25">
      <c r="A531" t="s">
        <v>729</v>
      </c>
      <c r="B531" t="s">
        <v>125</v>
      </c>
    </row>
    <row r="532" spans="1:2" x14ac:dyDescent="0.25">
      <c r="A532" t="s">
        <v>730</v>
      </c>
      <c r="B532" t="s">
        <v>125</v>
      </c>
    </row>
    <row r="533" spans="1:2" x14ac:dyDescent="0.25">
      <c r="A533" t="s">
        <v>731</v>
      </c>
      <c r="B533" t="s">
        <v>125</v>
      </c>
    </row>
    <row r="534" spans="1:2" x14ac:dyDescent="0.25">
      <c r="A534" t="s">
        <v>732</v>
      </c>
      <c r="B534" t="s">
        <v>125</v>
      </c>
    </row>
    <row r="535" spans="1:2" x14ac:dyDescent="0.25">
      <c r="A535" t="s">
        <v>733</v>
      </c>
      <c r="B535" t="s">
        <v>125</v>
      </c>
    </row>
    <row r="536" spans="1:2" x14ac:dyDescent="0.25">
      <c r="A536" t="s">
        <v>734</v>
      </c>
      <c r="B536" t="s">
        <v>125</v>
      </c>
    </row>
    <row r="537" spans="1:2" x14ac:dyDescent="0.25">
      <c r="A537" t="s">
        <v>735</v>
      </c>
      <c r="B537" t="s">
        <v>125</v>
      </c>
    </row>
    <row r="538" spans="1:2" x14ac:dyDescent="0.25">
      <c r="A538" t="s">
        <v>736</v>
      </c>
      <c r="B538" t="s">
        <v>125</v>
      </c>
    </row>
    <row r="539" spans="1:2" x14ac:dyDescent="0.25">
      <c r="A539" t="s">
        <v>737</v>
      </c>
      <c r="B539" t="s">
        <v>125</v>
      </c>
    </row>
    <row r="540" spans="1:2" x14ac:dyDescent="0.25">
      <c r="A540" t="s">
        <v>738</v>
      </c>
      <c r="B540" t="s">
        <v>125</v>
      </c>
    </row>
    <row r="541" spans="1:2" x14ac:dyDescent="0.25">
      <c r="A541" t="s">
        <v>202</v>
      </c>
      <c r="B541" t="s">
        <v>125</v>
      </c>
    </row>
    <row r="542" spans="1:2" x14ac:dyDescent="0.25">
      <c r="A542" t="s">
        <v>739</v>
      </c>
      <c r="B542" t="s">
        <v>125</v>
      </c>
    </row>
    <row r="543" spans="1:2" x14ac:dyDescent="0.25">
      <c r="A543" t="s">
        <v>164</v>
      </c>
      <c r="B543" t="s">
        <v>125</v>
      </c>
    </row>
    <row r="544" spans="1:2" x14ac:dyDescent="0.25">
      <c r="A544" t="s">
        <v>740</v>
      </c>
      <c r="B544" t="s">
        <v>125</v>
      </c>
    </row>
    <row r="545" spans="1:2" x14ac:dyDescent="0.25">
      <c r="A545" t="s">
        <v>741</v>
      </c>
      <c r="B545" t="s">
        <v>125</v>
      </c>
    </row>
    <row r="546" spans="1:2" x14ac:dyDescent="0.25">
      <c r="A546" t="s">
        <v>742</v>
      </c>
      <c r="B546" t="s">
        <v>125</v>
      </c>
    </row>
    <row r="547" spans="1:2" x14ac:dyDescent="0.25">
      <c r="A547" t="s">
        <v>743</v>
      </c>
      <c r="B547" t="s">
        <v>125</v>
      </c>
    </row>
    <row r="548" spans="1:2" x14ac:dyDescent="0.25">
      <c r="A548" t="s">
        <v>744</v>
      </c>
      <c r="B548" t="s">
        <v>125</v>
      </c>
    </row>
    <row r="549" spans="1:2" x14ac:dyDescent="0.25">
      <c r="A549" t="s">
        <v>745</v>
      </c>
      <c r="B549" t="s">
        <v>125</v>
      </c>
    </row>
    <row r="550" spans="1:2" x14ac:dyDescent="0.25">
      <c r="A550" t="s">
        <v>746</v>
      </c>
      <c r="B550" t="s">
        <v>125</v>
      </c>
    </row>
    <row r="551" spans="1:2" x14ac:dyDescent="0.25">
      <c r="A551" t="s">
        <v>747</v>
      </c>
      <c r="B551" t="s">
        <v>125</v>
      </c>
    </row>
    <row r="552" spans="1:2" x14ac:dyDescent="0.25">
      <c r="A552" t="s">
        <v>748</v>
      </c>
      <c r="B552" t="s">
        <v>125</v>
      </c>
    </row>
    <row r="553" spans="1:2" x14ac:dyDescent="0.25">
      <c r="A553" t="s">
        <v>749</v>
      </c>
      <c r="B553" t="s">
        <v>125</v>
      </c>
    </row>
    <row r="554" spans="1:2" x14ac:dyDescent="0.25">
      <c r="A554" t="s">
        <v>750</v>
      </c>
      <c r="B554" t="s">
        <v>125</v>
      </c>
    </row>
    <row r="555" spans="1:2" x14ac:dyDescent="0.25">
      <c r="A555" t="s">
        <v>751</v>
      </c>
      <c r="B555" t="s">
        <v>125</v>
      </c>
    </row>
    <row r="556" spans="1:2" x14ac:dyDescent="0.25">
      <c r="A556" t="s">
        <v>752</v>
      </c>
      <c r="B556" t="s">
        <v>125</v>
      </c>
    </row>
    <row r="557" spans="1:2" x14ac:dyDescent="0.25">
      <c r="A557" t="s">
        <v>753</v>
      </c>
      <c r="B557" t="s">
        <v>125</v>
      </c>
    </row>
    <row r="558" spans="1:2" x14ac:dyDescent="0.25">
      <c r="A558" t="s">
        <v>754</v>
      </c>
      <c r="B558" t="s">
        <v>125</v>
      </c>
    </row>
    <row r="559" spans="1:2" x14ac:dyDescent="0.25">
      <c r="A559" t="s">
        <v>755</v>
      </c>
      <c r="B559" t="s">
        <v>125</v>
      </c>
    </row>
    <row r="560" spans="1:2" x14ac:dyDescent="0.25">
      <c r="A560" t="s">
        <v>756</v>
      </c>
      <c r="B560" t="s">
        <v>125</v>
      </c>
    </row>
    <row r="561" spans="1:2" x14ac:dyDescent="0.25">
      <c r="A561" t="s">
        <v>757</v>
      </c>
      <c r="B561" t="s">
        <v>125</v>
      </c>
    </row>
    <row r="562" spans="1:2" x14ac:dyDescent="0.25">
      <c r="A562" t="s">
        <v>758</v>
      </c>
      <c r="B562" t="s">
        <v>125</v>
      </c>
    </row>
    <row r="563" spans="1:2" x14ac:dyDescent="0.25">
      <c r="A563" t="s">
        <v>759</v>
      </c>
      <c r="B563" t="s">
        <v>125</v>
      </c>
    </row>
    <row r="564" spans="1:2" x14ac:dyDescent="0.25">
      <c r="A564" t="s">
        <v>760</v>
      </c>
      <c r="B564" t="s">
        <v>125</v>
      </c>
    </row>
    <row r="565" spans="1:2" x14ac:dyDescent="0.25">
      <c r="A565" t="s">
        <v>761</v>
      </c>
      <c r="B565" t="s">
        <v>125</v>
      </c>
    </row>
    <row r="566" spans="1:2" x14ac:dyDescent="0.25">
      <c r="A566" t="s">
        <v>762</v>
      </c>
      <c r="B566" t="s">
        <v>125</v>
      </c>
    </row>
    <row r="567" spans="1:2" x14ac:dyDescent="0.25">
      <c r="A567" t="s">
        <v>763</v>
      </c>
      <c r="B567" t="s">
        <v>125</v>
      </c>
    </row>
    <row r="568" spans="1:2" x14ac:dyDescent="0.25">
      <c r="A568" t="s">
        <v>764</v>
      </c>
      <c r="B568" t="s">
        <v>125</v>
      </c>
    </row>
    <row r="569" spans="1:2" x14ac:dyDescent="0.25">
      <c r="A569" t="s">
        <v>765</v>
      </c>
      <c r="B569" t="s">
        <v>125</v>
      </c>
    </row>
    <row r="570" spans="1:2" x14ac:dyDescent="0.25">
      <c r="A570" t="s">
        <v>766</v>
      </c>
      <c r="B570" t="s">
        <v>125</v>
      </c>
    </row>
    <row r="571" spans="1:2" x14ac:dyDescent="0.25">
      <c r="A571" t="s">
        <v>767</v>
      </c>
      <c r="B571" t="s">
        <v>125</v>
      </c>
    </row>
    <row r="572" spans="1:2" x14ac:dyDescent="0.25">
      <c r="A572" t="s">
        <v>768</v>
      </c>
      <c r="B572" t="s">
        <v>125</v>
      </c>
    </row>
    <row r="573" spans="1:2" x14ac:dyDescent="0.25">
      <c r="A573" t="s">
        <v>769</v>
      </c>
      <c r="B573" t="s">
        <v>125</v>
      </c>
    </row>
    <row r="574" spans="1:2" x14ac:dyDescent="0.25">
      <c r="A574" t="s">
        <v>770</v>
      </c>
      <c r="B574" t="s">
        <v>125</v>
      </c>
    </row>
    <row r="575" spans="1:2" x14ac:dyDescent="0.25">
      <c r="A575" t="s">
        <v>771</v>
      </c>
      <c r="B575" t="s">
        <v>125</v>
      </c>
    </row>
    <row r="576" spans="1:2" x14ac:dyDescent="0.25">
      <c r="A576" t="s">
        <v>772</v>
      </c>
      <c r="B576" t="s">
        <v>125</v>
      </c>
    </row>
    <row r="577" spans="1:2" x14ac:dyDescent="0.25">
      <c r="A577" t="s">
        <v>773</v>
      </c>
      <c r="B577" t="s">
        <v>125</v>
      </c>
    </row>
    <row r="578" spans="1:2" x14ac:dyDescent="0.25">
      <c r="A578" t="s">
        <v>774</v>
      </c>
      <c r="B578" t="s">
        <v>125</v>
      </c>
    </row>
    <row r="579" spans="1:2" x14ac:dyDescent="0.25">
      <c r="A579" t="s">
        <v>775</v>
      </c>
      <c r="B579" t="s">
        <v>125</v>
      </c>
    </row>
    <row r="580" spans="1:2" x14ac:dyDescent="0.25">
      <c r="A580" t="s">
        <v>776</v>
      </c>
      <c r="B580" t="s">
        <v>125</v>
      </c>
    </row>
    <row r="581" spans="1:2" x14ac:dyDescent="0.25">
      <c r="A581" t="s">
        <v>777</v>
      </c>
      <c r="B581" t="s">
        <v>125</v>
      </c>
    </row>
    <row r="582" spans="1:2" x14ac:dyDescent="0.25">
      <c r="A582" t="s">
        <v>778</v>
      </c>
      <c r="B582" t="s">
        <v>125</v>
      </c>
    </row>
    <row r="583" spans="1:2" x14ac:dyDescent="0.25">
      <c r="A583" t="s">
        <v>779</v>
      </c>
      <c r="B583" t="s">
        <v>125</v>
      </c>
    </row>
    <row r="584" spans="1:2" x14ac:dyDescent="0.25">
      <c r="A584" t="s">
        <v>780</v>
      </c>
      <c r="B584" t="s">
        <v>125</v>
      </c>
    </row>
    <row r="585" spans="1:2" x14ac:dyDescent="0.25">
      <c r="A585" t="s">
        <v>781</v>
      </c>
      <c r="B585" t="s">
        <v>125</v>
      </c>
    </row>
    <row r="586" spans="1:2" x14ac:dyDescent="0.25">
      <c r="A586" t="s">
        <v>782</v>
      </c>
      <c r="B586" t="s">
        <v>125</v>
      </c>
    </row>
    <row r="587" spans="1:2" x14ac:dyDescent="0.25">
      <c r="A587" t="s">
        <v>783</v>
      </c>
      <c r="B587" t="s">
        <v>125</v>
      </c>
    </row>
    <row r="588" spans="1:2" x14ac:dyDescent="0.25">
      <c r="A588" t="s">
        <v>784</v>
      </c>
      <c r="B588" t="s">
        <v>125</v>
      </c>
    </row>
    <row r="589" spans="1:2" x14ac:dyDescent="0.25">
      <c r="A589" t="s">
        <v>785</v>
      </c>
      <c r="B589" t="s">
        <v>125</v>
      </c>
    </row>
    <row r="590" spans="1:2" x14ac:dyDescent="0.25">
      <c r="A590" t="s">
        <v>786</v>
      </c>
      <c r="B590" t="s">
        <v>125</v>
      </c>
    </row>
    <row r="591" spans="1:2" x14ac:dyDescent="0.25">
      <c r="A591" t="s">
        <v>787</v>
      </c>
      <c r="B591" t="s">
        <v>125</v>
      </c>
    </row>
    <row r="592" spans="1:2" x14ac:dyDescent="0.25">
      <c r="A592" t="s">
        <v>788</v>
      </c>
      <c r="B592" t="s">
        <v>125</v>
      </c>
    </row>
    <row r="593" spans="1:2" x14ac:dyDescent="0.25">
      <c r="A593" t="s">
        <v>789</v>
      </c>
      <c r="B593" t="s">
        <v>125</v>
      </c>
    </row>
    <row r="594" spans="1:2" x14ac:dyDescent="0.25">
      <c r="A594" t="s">
        <v>790</v>
      </c>
      <c r="B594" t="s">
        <v>125</v>
      </c>
    </row>
    <row r="595" spans="1:2" x14ac:dyDescent="0.25">
      <c r="A595" t="s">
        <v>791</v>
      </c>
      <c r="B595" t="s">
        <v>125</v>
      </c>
    </row>
    <row r="596" spans="1:2" x14ac:dyDescent="0.25">
      <c r="A596" t="s">
        <v>792</v>
      </c>
      <c r="B596" t="s">
        <v>125</v>
      </c>
    </row>
    <row r="597" spans="1:2" x14ac:dyDescent="0.25">
      <c r="A597" t="s">
        <v>793</v>
      </c>
      <c r="B597" t="s">
        <v>125</v>
      </c>
    </row>
    <row r="598" spans="1:2" x14ac:dyDescent="0.25">
      <c r="A598" t="s">
        <v>794</v>
      </c>
      <c r="B598" t="s">
        <v>125</v>
      </c>
    </row>
    <row r="599" spans="1:2" x14ac:dyDescent="0.25">
      <c r="A599" t="s">
        <v>795</v>
      </c>
      <c r="B599" t="s">
        <v>125</v>
      </c>
    </row>
    <row r="600" spans="1:2" x14ac:dyDescent="0.25">
      <c r="A600" t="s">
        <v>796</v>
      </c>
      <c r="B600" t="s">
        <v>125</v>
      </c>
    </row>
    <row r="601" spans="1:2" x14ac:dyDescent="0.25">
      <c r="A601" t="s">
        <v>797</v>
      </c>
      <c r="B601" t="s">
        <v>125</v>
      </c>
    </row>
    <row r="602" spans="1:2" x14ac:dyDescent="0.25">
      <c r="A602" t="s">
        <v>798</v>
      </c>
      <c r="B602" t="s">
        <v>125</v>
      </c>
    </row>
    <row r="603" spans="1:2" x14ac:dyDescent="0.25">
      <c r="A603" t="s">
        <v>799</v>
      </c>
      <c r="B603" t="s">
        <v>125</v>
      </c>
    </row>
    <row r="604" spans="1:2" x14ac:dyDescent="0.25">
      <c r="A604" t="s">
        <v>800</v>
      </c>
      <c r="B604" t="s">
        <v>125</v>
      </c>
    </row>
    <row r="605" spans="1:2" x14ac:dyDescent="0.25">
      <c r="A605" t="s">
        <v>801</v>
      </c>
      <c r="B605" t="s">
        <v>125</v>
      </c>
    </row>
    <row r="606" spans="1:2" x14ac:dyDescent="0.25">
      <c r="A606" t="s">
        <v>802</v>
      </c>
      <c r="B606" t="s">
        <v>125</v>
      </c>
    </row>
    <row r="607" spans="1:2" x14ac:dyDescent="0.25">
      <c r="A607" t="s">
        <v>162</v>
      </c>
      <c r="B607" t="s">
        <v>125</v>
      </c>
    </row>
    <row r="608" spans="1:2" x14ac:dyDescent="0.25">
      <c r="A608" t="s">
        <v>803</v>
      </c>
      <c r="B608" t="s">
        <v>125</v>
      </c>
    </row>
    <row r="609" spans="1:2" x14ac:dyDescent="0.25">
      <c r="A609" t="s">
        <v>804</v>
      </c>
      <c r="B609" t="s">
        <v>125</v>
      </c>
    </row>
    <row r="610" spans="1:2" x14ac:dyDescent="0.25">
      <c r="A610" t="s">
        <v>805</v>
      </c>
      <c r="B610" t="s">
        <v>126</v>
      </c>
    </row>
    <row r="611" spans="1:2" x14ac:dyDescent="0.25">
      <c r="A611" t="s">
        <v>806</v>
      </c>
      <c r="B611" t="s">
        <v>126</v>
      </c>
    </row>
    <row r="612" spans="1:2" x14ac:dyDescent="0.25">
      <c r="A612" t="s">
        <v>807</v>
      </c>
      <c r="B612" t="s">
        <v>126</v>
      </c>
    </row>
    <row r="613" spans="1:2" x14ac:dyDescent="0.25">
      <c r="A613" t="s">
        <v>808</v>
      </c>
      <c r="B613" t="s">
        <v>126</v>
      </c>
    </row>
    <row r="614" spans="1:2" x14ac:dyDescent="0.25">
      <c r="A614" t="s">
        <v>809</v>
      </c>
      <c r="B614" t="s">
        <v>126</v>
      </c>
    </row>
    <row r="615" spans="1:2" x14ac:dyDescent="0.25">
      <c r="A615" t="s">
        <v>810</v>
      </c>
      <c r="B615" t="s">
        <v>126</v>
      </c>
    </row>
    <row r="616" spans="1:2" x14ac:dyDescent="0.25">
      <c r="A616" t="s">
        <v>811</v>
      </c>
      <c r="B616" t="s">
        <v>126</v>
      </c>
    </row>
    <row r="617" spans="1:2" x14ac:dyDescent="0.25">
      <c r="A617" t="s">
        <v>812</v>
      </c>
      <c r="B617" t="s">
        <v>126</v>
      </c>
    </row>
    <row r="618" spans="1:2" x14ac:dyDescent="0.25">
      <c r="A618" t="s">
        <v>813</v>
      </c>
      <c r="B618" t="s">
        <v>126</v>
      </c>
    </row>
    <row r="619" spans="1:2" x14ac:dyDescent="0.25">
      <c r="A619" t="s">
        <v>814</v>
      </c>
      <c r="B619" t="s">
        <v>126</v>
      </c>
    </row>
    <row r="620" spans="1:2" x14ac:dyDescent="0.25">
      <c r="A620" t="s">
        <v>815</v>
      </c>
      <c r="B620" t="s">
        <v>126</v>
      </c>
    </row>
    <row r="621" spans="1:2" x14ac:dyDescent="0.25">
      <c r="A621" t="s">
        <v>816</v>
      </c>
      <c r="B621" t="s">
        <v>126</v>
      </c>
    </row>
    <row r="622" spans="1:2" x14ac:dyDescent="0.25">
      <c r="A622" t="s">
        <v>817</v>
      </c>
      <c r="B622" t="s">
        <v>126</v>
      </c>
    </row>
    <row r="623" spans="1:2" x14ac:dyDescent="0.25">
      <c r="A623" t="s">
        <v>818</v>
      </c>
      <c r="B623" t="s">
        <v>126</v>
      </c>
    </row>
    <row r="624" spans="1:2" x14ac:dyDescent="0.25">
      <c r="A624" t="s">
        <v>819</v>
      </c>
      <c r="B624" t="s">
        <v>126</v>
      </c>
    </row>
    <row r="625" spans="1:2" x14ac:dyDescent="0.25">
      <c r="A625" t="s">
        <v>820</v>
      </c>
      <c r="B625" t="s">
        <v>126</v>
      </c>
    </row>
    <row r="626" spans="1:2" x14ac:dyDescent="0.25">
      <c r="A626" t="s">
        <v>821</v>
      </c>
      <c r="B626" t="s">
        <v>126</v>
      </c>
    </row>
    <row r="627" spans="1:2" x14ac:dyDescent="0.25">
      <c r="A627" t="s">
        <v>822</v>
      </c>
      <c r="B627" t="s">
        <v>126</v>
      </c>
    </row>
    <row r="628" spans="1:2" x14ac:dyDescent="0.25">
      <c r="A628" t="s">
        <v>823</v>
      </c>
      <c r="B628" t="s">
        <v>126</v>
      </c>
    </row>
    <row r="629" spans="1:2" x14ac:dyDescent="0.25">
      <c r="A629" t="s">
        <v>824</v>
      </c>
      <c r="B629" t="s">
        <v>126</v>
      </c>
    </row>
    <row r="630" spans="1:2" x14ac:dyDescent="0.25">
      <c r="A630" t="s">
        <v>825</v>
      </c>
      <c r="B630" t="s">
        <v>126</v>
      </c>
    </row>
    <row r="631" spans="1:2" x14ac:dyDescent="0.25">
      <c r="A631" t="s">
        <v>826</v>
      </c>
      <c r="B631" t="s">
        <v>126</v>
      </c>
    </row>
    <row r="632" spans="1:2" x14ac:dyDescent="0.25">
      <c r="A632" t="s">
        <v>827</v>
      </c>
      <c r="B632" t="s">
        <v>126</v>
      </c>
    </row>
    <row r="633" spans="1:2" x14ac:dyDescent="0.25">
      <c r="A633" t="s">
        <v>828</v>
      </c>
      <c r="B633" t="s">
        <v>126</v>
      </c>
    </row>
    <row r="634" spans="1:2" x14ac:dyDescent="0.25">
      <c r="A634" t="s">
        <v>829</v>
      </c>
      <c r="B634" t="s">
        <v>126</v>
      </c>
    </row>
    <row r="635" spans="1:2" x14ac:dyDescent="0.25">
      <c r="A635" t="s">
        <v>830</v>
      </c>
      <c r="B635" t="s">
        <v>126</v>
      </c>
    </row>
    <row r="636" spans="1:2" x14ac:dyDescent="0.25">
      <c r="A636" t="s">
        <v>831</v>
      </c>
      <c r="B636" t="s">
        <v>126</v>
      </c>
    </row>
    <row r="637" spans="1:2" x14ac:dyDescent="0.25">
      <c r="A637" t="s">
        <v>832</v>
      </c>
      <c r="B637" t="s">
        <v>126</v>
      </c>
    </row>
    <row r="638" spans="1:2" x14ac:dyDescent="0.25">
      <c r="A638" t="s">
        <v>833</v>
      </c>
      <c r="B638" t="s">
        <v>126</v>
      </c>
    </row>
    <row r="639" spans="1:2" x14ac:dyDescent="0.25">
      <c r="A639" t="s">
        <v>834</v>
      </c>
      <c r="B639" t="s">
        <v>126</v>
      </c>
    </row>
    <row r="640" spans="1:2" x14ac:dyDescent="0.25">
      <c r="A640" t="s">
        <v>835</v>
      </c>
      <c r="B640" t="s">
        <v>126</v>
      </c>
    </row>
    <row r="641" spans="1:2" x14ac:dyDescent="0.25">
      <c r="A641" t="s">
        <v>836</v>
      </c>
      <c r="B641" t="s">
        <v>126</v>
      </c>
    </row>
    <row r="642" spans="1:2" x14ac:dyDescent="0.25">
      <c r="A642" t="s">
        <v>837</v>
      </c>
      <c r="B642" t="s">
        <v>126</v>
      </c>
    </row>
    <row r="643" spans="1:2" x14ac:dyDescent="0.25">
      <c r="A643" t="s">
        <v>838</v>
      </c>
      <c r="B643" t="s">
        <v>126</v>
      </c>
    </row>
    <row r="644" spans="1:2" x14ac:dyDescent="0.25">
      <c r="A644" t="s">
        <v>839</v>
      </c>
      <c r="B644" t="s">
        <v>126</v>
      </c>
    </row>
    <row r="645" spans="1:2" x14ac:dyDescent="0.25">
      <c r="A645" t="s">
        <v>840</v>
      </c>
      <c r="B645" t="s">
        <v>126</v>
      </c>
    </row>
    <row r="646" spans="1:2" x14ac:dyDescent="0.25">
      <c r="A646" t="s">
        <v>841</v>
      </c>
      <c r="B646" t="s">
        <v>126</v>
      </c>
    </row>
    <row r="647" spans="1:2" x14ac:dyDescent="0.25">
      <c r="A647" t="s">
        <v>842</v>
      </c>
      <c r="B647" t="s">
        <v>126</v>
      </c>
    </row>
    <row r="648" spans="1:2" x14ac:dyDescent="0.25">
      <c r="A648" t="s">
        <v>843</v>
      </c>
      <c r="B648" t="s">
        <v>126</v>
      </c>
    </row>
    <row r="649" spans="1:2" x14ac:dyDescent="0.25">
      <c r="A649" t="s">
        <v>844</v>
      </c>
      <c r="B649" t="s">
        <v>126</v>
      </c>
    </row>
    <row r="650" spans="1:2" x14ac:dyDescent="0.25">
      <c r="A650" t="s">
        <v>845</v>
      </c>
      <c r="B650" t="s">
        <v>126</v>
      </c>
    </row>
    <row r="651" spans="1:2" x14ac:dyDescent="0.25">
      <c r="A651" t="s">
        <v>846</v>
      </c>
      <c r="B651" t="s">
        <v>126</v>
      </c>
    </row>
    <row r="652" spans="1:2" x14ac:dyDescent="0.25">
      <c r="A652" t="s">
        <v>847</v>
      </c>
      <c r="B652" t="s">
        <v>126</v>
      </c>
    </row>
    <row r="653" spans="1:2" x14ac:dyDescent="0.25">
      <c r="A653" t="s">
        <v>848</v>
      </c>
      <c r="B653" t="s">
        <v>126</v>
      </c>
    </row>
    <row r="654" spans="1:2" x14ac:dyDescent="0.25">
      <c r="A654" t="s">
        <v>849</v>
      </c>
      <c r="B654" t="s">
        <v>126</v>
      </c>
    </row>
    <row r="655" spans="1:2" x14ac:dyDescent="0.25">
      <c r="A655" t="s">
        <v>850</v>
      </c>
      <c r="B655" t="s">
        <v>126</v>
      </c>
    </row>
    <row r="656" spans="1:2" x14ac:dyDescent="0.25">
      <c r="A656" t="s">
        <v>851</v>
      </c>
      <c r="B656" t="s">
        <v>126</v>
      </c>
    </row>
    <row r="657" spans="1:2" x14ac:dyDescent="0.25">
      <c r="A657" t="s">
        <v>852</v>
      </c>
      <c r="B657" t="s">
        <v>126</v>
      </c>
    </row>
    <row r="658" spans="1:2" x14ac:dyDescent="0.25">
      <c r="A658" t="s">
        <v>853</v>
      </c>
      <c r="B658" t="s">
        <v>126</v>
      </c>
    </row>
    <row r="659" spans="1:2" x14ac:dyDescent="0.25">
      <c r="A659" t="s">
        <v>854</v>
      </c>
      <c r="B659" t="s">
        <v>126</v>
      </c>
    </row>
    <row r="660" spans="1:2" x14ac:dyDescent="0.25">
      <c r="A660" t="s">
        <v>855</v>
      </c>
      <c r="B660" t="s">
        <v>126</v>
      </c>
    </row>
    <row r="661" spans="1:2" x14ac:dyDescent="0.25">
      <c r="A661" t="s">
        <v>856</v>
      </c>
      <c r="B661" t="s">
        <v>126</v>
      </c>
    </row>
    <row r="662" spans="1:2" x14ac:dyDescent="0.25">
      <c r="A662" t="s">
        <v>857</v>
      </c>
      <c r="B662" t="s">
        <v>126</v>
      </c>
    </row>
    <row r="663" spans="1:2" x14ac:dyDescent="0.25">
      <c r="A663" t="s">
        <v>858</v>
      </c>
      <c r="B663" t="s">
        <v>126</v>
      </c>
    </row>
    <row r="664" spans="1:2" x14ac:dyDescent="0.25">
      <c r="A664" t="s">
        <v>859</v>
      </c>
      <c r="B664" t="s">
        <v>126</v>
      </c>
    </row>
    <row r="665" spans="1:2" x14ac:dyDescent="0.25">
      <c r="A665" t="s">
        <v>860</v>
      </c>
      <c r="B665" t="s">
        <v>126</v>
      </c>
    </row>
    <row r="666" spans="1:2" x14ac:dyDescent="0.25">
      <c r="A666" t="s">
        <v>861</v>
      </c>
      <c r="B666" t="s">
        <v>126</v>
      </c>
    </row>
    <row r="667" spans="1:2" x14ac:dyDescent="0.25">
      <c r="A667" t="s">
        <v>862</v>
      </c>
      <c r="B667" t="s">
        <v>126</v>
      </c>
    </row>
    <row r="668" spans="1:2" x14ac:dyDescent="0.25">
      <c r="A668" t="s">
        <v>863</v>
      </c>
      <c r="B668" t="s">
        <v>126</v>
      </c>
    </row>
    <row r="669" spans="1:2" x14ac:dyDescent="0.25">
      <c r="A669" t="s">
        <v>864</v>
      </c>
      <c r="B669" t="s">
        <v>126</v>
      </c>
    </row>
    <row r="670" spans="1:2" x14ac:dyDescent="0.25">
      <c r="A670" t="s">
        <v>865</v>
      </c>
      <c r="B670" t="s">
        <v>126</v>
      </c>
    </row>
    <row r="671" spans="1:2" x14ac:dyDescent="0.25">
      <c r="A671" t="s">
        <v>866</v>
      </c>
      <c r="B671" t="s">
        <v>126</v>
      </c>
    </row>
    <row r="672" spans="1:2" x14ac:dyDescent="0.25">
      <c r="A672" t="s">
        <v>867</v>
      </c>
      <c r="B672" t="s">
        <v>126</v>
      </c>
    </row>
    <row r="673" spans="1:2" x14ac:dyDescent="0.25">
      <c r="A673" t="s">
        <v>868</v>
      </c>
      <c r="B673" t="s">
        <v>126</v>
      </c>
    </row>
    <row r="674" spans="1:2" x14ac:dyDescent="0.25">
      <c r="A674" t="s">
        <v>869</v>
      </c>
      <c r="B674" t="s">
        <v>126</v>
      </c>
    </row>
    <row r="675" spans="1:2" x14ac:dyDescent="0.25">
      <c r="A675" t="s">
        <v>870</v>
      </c>
      <c r="B675" t="s">
        <v>126</v>
      </c>
    </row>
    <row r="676" spans="1:2" x14ac:dyDescent="0.25">
      <c r="A676" t="s">
        <v>871</v>
      </c>
      <c r="B676" t="s">
        <v>126</v>
      </c>
    </row>
    <row r="677" spans="1:2" x14ac:dyDescent="0.25">
      <c r="A677" t="s">
        <v>872</v>
      </c>
      <c r="B677" t="s">
        <v>126</v>
      </c>
    </row>
    <row r="678" spans="1:2" x14ac:dyDescent="0.25">
      <c r="A678" t="s">
        <v>873</v>
      </c>
      <c r="B678" t="s">
        <v>126</v>
      </c>
    </row>
    <row r="679" spans="1:2" x14ac:dyDescent="0.25">
      <c r="A679" t="s">
        <v>874</v>
      </c>
      <c r="B679" t="s">
        <v>126</v>
      </c>
    </row>
    <row r="680" spans="1:2" x14ac:dyDescent="0.25">
      <c r="A680" t="s">
        <v>875</v>
      </c>
      <c r="B680" t="s">
        <v>126</v>
      </c>
    </row>
    <row r="681" spans="1:2" x14ac:dyDescent="0.25">
      <c r="A681" t="s">
        <v>876</v>
      </c>
      <c r="B681" t="s">
        <v>126</v>
      </c>
    </row>
    <row r="682" spans="1:2" x14ac:dyDescent="0.25">
      <c r="A682" t="s">
        <v>877</v>
      </c>
      <c r="B682" t="s">
        <v>126</v>
      </c>
    </row>
    <row r="683" spans="1:2" x14ac:dyDescent="0.25">
      <c r="A683" t="s">
        <v>878</v>
      </c>
      <c r="B683" t="s">
        <v>126</v>
      </c>
    </row>
    <row r="684" spans="1:2" x14ac:dyDescent="0.25">
      <c r="A684" t="s">
        <v>879</v>
      </c>
      <c r="B684" t="s">
        <v>126</v>
      </c>
    </row>
    <row r="685" spans="1:2" x14ac:dyDescent="0.25">
      <c r="A685" t="s">
        <v>880</v>
      </c>
      <c r="B685" t="s">
        <v>126</v>
      </c>
    </row>
    <row r="686" spans="1:2" x14ac:dyDescent="0.25">
      <c r="A686" t="s">
        <v>881</v>
      </c>
      <c r="B686" t="s">
        <v>126</v>
      </c>
    </row>
    <row r="687" spans="1:2" x14ac:dyDescent="0.25">
      <c r="A687" t="s">
        <v>882</v>
      </c>
      <c r="B687" t="s">
        <v>126</v>
      </c>
    </row>
    <row r="688" spans="1:2" x14ac:dyDescent="0.25">
      <c r="A688" t="s">
        <v>883</v>
      </c>
      <c r="B688" t="s">
        <v>126</v>
      </c>
    </row>
    <row r="689" spans="1:2" x14ac:dyDescent="0.25">
      <c r="A689" t="s">
        <v>884</v>
      </c>
      <c r="B689" t="s">
        <v>126</v>
      </c>
    </row>
    <row r="690" spans="1:2" x14ac:dyDescent="0.25">
      <c r="A690" t="s">
        <v>885</v>
      </c>
      <c r="B690" t="s">
        <v>126</v>
      </c>
    </row>
    <row r="691" spans="1:2" x14ac:dyDescent="0.25">
      <c r="A691" t="s">
        <v>886</v>
      </c>
      <c r="B691" t="s">
        <v>126</v>
      </c>
    </row>
    <row r="692" spans="1:2" x14ac:dyDescent="0.25">
      <c r="A692" t="s">
        <v>887</v>
      </c>
      <c r="B692" t="s">
        <v>126</v>
      </c>
    </row>
    <row r="693" spans="1:2" x14ac:dyDescent="0.25">
      <c r="A693" t="s">
        <v>888</v>
      </c>
      <c r="B693" t="s">
        <v>126</v>
      </c>
    </row>
    <row r="694" spans="1:2" x14ac:dyDescent="0.25">
      <c r="A694" t="s">
        <v>889</v>
      </c>
      <c r="B694" t="s">
        <v>126</v>
      </c>
    </row>
    <row r="695" spans="1:2" x14ac:dyDescent="0.25">
      <c r="A695" t="s">
        <v>890</v>
      </c>
      <c r="B695" t="s">
        <v>126</v>
      </c>
    </row>
    <row r="696" spans="1:2" x14ac:dyDescent="0.25">
      <c r="A696" t="s">
        <v>891</v>
      </c>
      <c r="B696" t="s">
        <v>126</v>
      </c>
    </row>
    <row r="697" spans="1:2" x14ac:dyDescent="0.25">
      <c r="A697" t="s">
        <v>892</v>
      </c>
      <c r="B697" t="s">
        <v>126</v>
      </c>
    </row>
    <row r="698" spans="1:2" x14ac:dyDescent="0.25">
      <c r="A698" t="s">
        <v>893</v>
      </c>
      <c r="B698" t="s">
        <v>126</v>
      </c>
    </row>
    <row r="699" spans="1:2" x14ac:dyDescent="0.25">
      <c r="A699" t="s">
        <v>894</v>
      </c>
      <c r="B699" t="s">
        <v>126</v>
      </c>
    </row>
    <row r="700" spans="1:2" x14ac:dyDescent="0.25">
      <c r="A700" t="s">
        <v>895</v>
      </c>
      <c r="B700" t="s">
        <v>126</v>
      </c>
    </row>
    <row r="701" spans="1:2" x14ac:dyDescent="0.25">
      <c r="A701" t="s">
        <v>896</v>
      </c>
      <c r="B701" t="s">
        <v>126</v>
      </c>
    </row>
    <row r="702" spans="1:2" x14ac:dyDescent="0.25">
      <c r="A702" t="s">
        <v>897</v>
      </c>
      <c r="B702" t="s">
        <v>126</v>
      </c>
    </row>
    <row r="703" spans="1:2" x14ac:dyDescent="0.25">
      <c r="A703" t="s">
        <v>898</v>
      </c>
      <c r="B703" t="s">
        <v>126</v>
      </c>
    </row>
    <row r="704" spans="1:2" x14ac:dyDescent="0.25">
      <c r="A704" t="s">
        <v>899</v>
      </c>
      <c r="B704" t="s">
        <v>126</v>
      </c>
    </row>
    <row r="705" spans="1:2" x14ac:dyDescent="0.25">
      <c r="A705" t="s">
        <v>900</v>
      </c>
      <c r="B705" t="s">
        <v>126</v>
      </c>
    </row>
    <row r="706" spans="1:2" x14ac:dyDescent="0.25">
      <c r="A706" t="s">
        <v>901</v>
      </c>
      <c r="B706" t="s">
        <v>126</v>
      </c>
    </row>
    <row r="707" spans="1:2" x14ac:dyDescent="0.25">
      <c r="A707" t="s">
        <v>902</v>
      </c>
      <c r="B707" t="s">
        <v>126</v>
      </c>
    </row>
    <row r="708" spans="1:2" x14ac:dyDescent="0.25">
      <c r="A708" t="s">
        <v>903</v>
      </c>
      <c r="B708" t="s">
        <v>126</v>
      </c>
    </row>
    <row r="709" spans="1:2" x14ac:dyDescent="0.25">
      <c r="A709" t="s">
        <v>904</v>
      </c>
      <c r="B709" t="s">
        <v>126</v>
      </c>
    </row>
    <row r="710" spans="1:2" x14ac:dyDescent="0.25">
      <c r="A710" t="s">
        <v>905</v>
      </c>
      <c r="B710" t="s">
        <v>126</v>
      </c>
    </row>
    <row r="711" spans="1:2" x14ac:dyDescent="0.25">
      <c r="A711" t="s">
        <v>906</v>
      </c>
      <c r="B711" t="s">
        <v>126</v>
      </c>
    </row>
    <row r="712" spans="1:2" x14ac:dyDescent="0.25">
      <c r="A712" t="s">
        <v>907</v>
      </c>
      <c r="B712" t="s">
        <v>126</v>
      </c>
    </row>
    <row r="713" spans="1:2" x14ac:dyDescent="0.25">
      <c r="A713" t="s">
        <v>908</v>
      </c>
      <c r="B713" t="s">
        <v>126</v>
      </c>
    </row>
    <row r="714" spans="1:2" x14ac:dyDescent="0.25">
      <c r="A714" t="s">
        <v>909</v>
      </c>
      <c r="B714" t="s">
        <v>126</v>
      </c>
    </row>
    <row r="715" spans="1:2" x14ac:dyDescent="0.25">
      <c r="A715" t="s">
        <v>910</v>
      </c>
      <c r="B715" t="s">
        <v>126</v>
      </c>
    </row>
    <row r="716" spans="1:2" x14ac:dyDescent="0.25">
      <c r="A716" t="s">
        <v>911</v>
      </c>
      <c r="B716" t="s">
        <v>126</v>
      </c>
    </row>
    <row r="717" spans="1:2" x14ac:dyDescent="0.25">
      <c r="A717" t="s">
        <v>912</v>
      </c>
      <c r="B717" t="s">
        <v>126</v>
      </c>
    </row>
    <row r="718" spans="1:2" x14ac:dyDescent="0.25">
      <c r="A718" t="s">
        <v>913</v>
      </c>
      <c r="B718" t="s">
        <v>126</v>
      </c>
    </row>
    <row r="719" spans="1:2" x14ac:dyDescent="0.25">
      <c r="A719" t="s">
        <v>914</v>
      </c>
      <c r="B719" t="s">
        <v>126</v>
      </c>
    </row>
    <row r="720" spans="1:2" x14ac:dyDescent="0.25">
      <c r="A720" t="s">
        <v>915</v>
      </c>
      <c r="B720" t="s">
        <v>126</v>
      </c>
    </row>
    <row r="721" spans="1:2" x14ac:dyDescent="0.25">
      <c r="A721" t="s">
        <v>916</v>
      </c>
      <c r="B721" t="s">
        <v>126</v>
      </c>
    </row>
    <row r="722" spans="1:2" x14ac:dyDescent="0.25">
      <c r="A722" t="s">
        <v>917</v>
      </c>
      <c r="B722" t="s">
        <v>126</v>
      </c>
    </row>
    <row r="723" spans="1:2" x14ac:dyDescent="0.25">
      <c r="A723" t="s">
        <v>918</v>
      </c>
      <c r="B723" t="s">
        <v>126</v>
      </c>
    </row>
    <row r="724" spans="1:2" x14ac:dyDescent="0.25">
      <c r="A724" t="s">
        <v>919</v>
      </c>
      <c r="B724" t="s">
        <v>126</v>
      </c>
    </row>
    <row r="725" spans="1:2" x14ac:dyDescent="0.25">
      <c r="A725" t="s">
        <v>920</v>
      </c>
      <c r="B725" t="s">
        <v>126</v>
      </c>
    </row>
    <row r="726" spans="1:2" x14ac:dyDescent="0.25">
      <c r="A726" t="s">
        <v>921</v>
      </c>
      <c r="B726" t="s">
        <v>126</v>
      </c>
    </row>
    <row r="727" spans="1:2" x14ac:dyDescent="0.25">
      <c r="A727" t="s">
        <v>922</v>
      </c>
      <c r="B727" t="s">
        <v>126</v>
      </c>
    </row>
    <row r="728" spans="1:2" x14ac:dyDescent="0.25">
      <c r="A728" t="s">
        <v>923</v>
      </c>
      <c r="B728" t="s">
        <v>126</v>
      </c>
    </row>
    <row r="729" spans="1:2" x14ac:dyDescent="0.25">
      <c r="A729" t="s">
        <v>924</v>
      </c>
      <c r="B729" t="s">
        <v>126</v>
      </c>
    </row>
    <row r="730" spans="1:2" x14ac:dyDescent="0.25">
      <c r="A730" t="s">
        <v>925</v>
      </c>
      <c r="B730" t="s">
        <v>126</v>
      </c>
    </row>
    <row r="731" spans="1:2" x14ac:dyDescent="0.25">
      <c r="A731" t="s">
        <v>926</v>
      </c>
      <c r="B731" t="s">
        <v>126</v>
      </c>
    </row>
    <row r="732" spans="1:2" x14ac:dyDescent="0.25">
      <c r="A732" t="s">
        <v>927</v>
      </c>
      <c r="B732" t="s">
        <v>126</v>
      </c>
    </row>
    <row r="733" spans="1:2" x14ac:dyDescent="0.25">
      <c r="A733" t="s">
        <v>928</v>
      </c>
      <c r="B733" t="s">
        <v>126</v>
      </c>
    </row>
    <row r="734" spans="1:2" x14ac:dyDescent="0.25">
      <c r="A734" t="s">
        <v>929</v>
      </c>
      <c r="B734" t="s">
        <v>126</v>
      </c>
    </row>
    <row r="735" spans="1:2" x14ac:dyDescent="0.25">
      <c r="A735" t="s">
        <v>930</v>
      </c>
      <c r="B735" t="s">
        <v>126</v>
      </c>
    </row>
    <row r="736" spans="1:2" x14ac:dyDescent="0.25">
      <c r="A736" t="s">
        <v>931</v>
      </c>
      <c r="B736" t="s">
        <v>126</v>
      </c>
    </row>
    <row r="737" spans="1:2" x14ac:dyDescent="0.25">
      <c r="A737" t="s">
        <v>932</v>
      </c>
      <c r="B737" t="s">
        <v>126</v>
      </c>
    </row>
    <row r="738" spans="1:2" x14ac:dyDescent="0.25">
      <c r="A738" t="s">
        <v>933</v>
      </c>
      <c r="B738" t="s">
        <v>126</v>
      </c>
    </row>
    <row r="739" spans="1:2" x14ac:dyDescent="0.25">
      <c r="A739" t="s">
        <v>934</v>
      </c>
      <c r="B739" t="s">
        <v>126</v>
      </c>
    </row>
    <row r="740" spans="1:2" x14ac:dyDescent="0.25">
      <c r="A740" t="s">
        <v>935</v>
      </c>
      <c r="B740" t="s">
        <v>126</v>
      </c>
    </row>
    <row r="741" spans="1:2" x14ac:dyDescent="0.25">
      <c r="A741" t="s">
        <v>936</v>
      </c>
      <c r="B741" t="s">
        <v>126</v>
      </c>
    </row>
    <row r="742" spans="1:2" x14ac:dyDescent="0.25">
      <c r="A742" t="s">
        <v>937</v>
      </c>
      <c r="B742" t="s">
        <v>126</v>
      </c>
    </row>
    <row r="743" spans="1:2" x14ac:dyDescent="0.25">
      <c r="A743" t="s">
        <v>938</v>
      </c>
      <c r="B743" t="s">
        <v>126</v>
      </c>
    </row>
    <row r="744" spans="1:2" x14ac:dyDescent="0.25">
      <c r="A744" t="s">
        <v>939</v>
      </c>
      <c r="B744" t="s">
        <v>126</v>
      </c>
    </row>
    <row r="745" spans="1:2" x14ac:dyDescent="0.25">
      <c r="A745" t="s">
        <v>940</v>
      </c>
      <c r="B745" t="s">
        <v>126</v>
      </c>
    </row>
    <row r="746" spans="1:2" x14ac:dyDescent="0.25">
      <c r="A746" t="s">
        <v>941</v>
      </c>
      <c r="B746" t="s">
        <v>126</v>
      </c>
    </row>
    <row r="747" spans="1:2" x14ac:dyDescent="0.25">
      <c r="A747" t="s">
        <v>942</v>
      </c>
      <c r="B747" t="s">
        <v>126</v>
      </c>
    </row>
    <row r="748" spans="1:2" x14ac:dyDescent="0.25">
      <c r="A748" t="s">
        <v>943</v>
      </c>
      <c r="B748" t="s">
        <v>126</v>
      </c>
    </row>
    <row r="749" spans="1:2" x14ac:dyDescent="0.25">
      <c r="A749" t="s">
        <v>944</v>
      </c>
      <c r="B749" t="s">
        <v>126</v>
      </c>
    </row>
    <row r="750" spans="1:2" x14ac:dyDescent="0.25">
      <c r="A750" t="s">
        <v>945</v>
      </c>
      <c r="B750" t="s">
        <v>126</v>
      </c>
    </row>
    <row r="751" spans="1:2" x14ac:dyDescent="0.25">
      <c r="A751" t="s">
        <v>946</v>
      </c>
      <c r="B751" t="s">
        <v>126</v>
      </c>
    </row>
    <row r="752" spans="1:2" x14ac:dyDescent="0.25">
      <c r="A752" t="s">
        <v>947</v>
      </c>
      <c r="B752" t="s">
        <v>126</v>
      </c>
    </row>
    <row r="753" spans="1:2" x14ac:dyDescent="0.25">
      <c r="A753" t="s">
        <v>948</v>
      </c>
      <c r="B753" t="s">
        <v>126</v>
      </c>
    </row>
    <row r="754" spans="1:2" x14ac:dyDescent="0.25">
      <c r="A754" t="s">
        <v>949</v>
      </c>
      <c r="B754" t="s">
        <v>126</v>
      </c>
    </row>
    <row r="755" spans="1:2" x14ac:dyDescent="0.25">
      <c r="A755" t="s">
        <v>950</v>
      </c>
      <c r="B755" t="s">
        <v>126</v>
      </c>
    </row>
    <row r="756" spans="1:2" x14ac:dyDescent="0.25">
      <c r="A756" t="s">
        <v>951</v>
      </c>
      <c r="B756" t="s">
        <v>126</v>
      </c>
    </row>
    <row r="757" spans="1:2" x14ac:dyDescent="0.25">
      <c r="A757" t="s">
        <v>952</v>
      </c>
      <c r="B757" t="s">
        <v>126</v>
      </c>
    </row>
    <row r="758" spans="1:2" x14ac:dyDescent="0.25">
      <c r="A758" t="s">
        <v>953</v>
      </c>
      <c r="B758" t="s">
        <v>126</v>
      </c>
    </row>
    <row r="759" spans="1:2" x14ac:dyDescent="0.25">
      <c r="A759" t="s">
        <v>954</v>
      </c>
      <c r="B759" t="s">
        <v>126</v>
      </c>
    </row>
    <row r="760" spans="1:2" x14ac:dyDescent="0.25">
      <c r="A760" t="s">
        <v>955</v>
      </c>
      <c r="B760" t="s">
        <v>126</v>
      </c>
    </row>
    <row r="761" spans="1:2" x14ac:dyDescent="0.25">
      <c r="A761" t="s">
        <v>956</v>
      </c>
      <c r="B761" t="s">
        <v>126</v>
      </c>
    </row>
    <row r="762" spans="1:2" x14ac:dyDescent="0.25">
      <c r="A762" t="s">
        <v>957</v>
      </c>
      <c r="B762" t="s">
        <v>126</v>
      </c>
    </row>
    <row r="763" spans="1:2" x14ac:dyDescent="0.25">
      <c r="A763" t="s">
        <v>958</v>
      </c>
      <c r="B763" t="s">
        <v>126</v>
      </c>
    </row>
    <row r="764" spans="1:2" x14ac:dyDescent="0.25">
      <c r="A764" t="s">
        <v>959</v>
      </c>
      <c r="B764" t="s">
        <v>126</v>
      </c>
    </row>
    <row r="765" spans="1:2" x14ac:dyDescent="0.25">
      <c r="A765" t="s">
        <v>960</v>
      </c>
      <c r="B765" t="s">
        <v>126</v>
      </c>
    </row>
    <row r="766" spans="1:2" x14ac:dyDescent="0.25">
      <c r="A766" t="s">
        <v>961</v>
      </c>
      <c r="B766" t="s">
        <v>126</v>
      </c>
    </row>
    <row r="767" spans="1:2" x14ac:dyDescent="0.25">
      <c r="A767" t="s">
        <v>962</v>
      </c>
      <c r="B767" t="s">
        <v>126</v>
      </c>
    </row>
    <row r="768" spans="1:2" x14ac:dyDescent="0.25">
      <c r="A768" t="s">
        <v>963</v>
      </c>
      <c r="B768" t="s">
        <v>126</v>
      </c>
    </row>
    <row r="769" spans="1:2" x14ac:dyDescent="0.25">
      <c r="A769" t="s">
        <v>964</v>
      </c>
      <c r="B769" t="s">
        <v>126</v>
      </c>
    </row>
    <row r="770" spans="1:2" x14ac:dyDescent="0.25">
      <c r="A770" t="s">
        <v>965</v>
      </c>
      <c r="B770" t="s">
        <v>126</v>
      </c>
    </row>
    <row r="771" spans="1:2" x14ac:dyDescent="0.25">
      <c r="A771" t="s">
        <v>966</v>
      </c>
      <c r="B771" t="s">
        <v>126</v>
      </c>
    </row>
    <row r="772" spans="1:2" x14ac:dyDescent="0.25">
      <c r="A772" t="s">
        <v>967</v>
      </c>
      <c r="B772" t="s">
        <v>126</v>
      </c>
    </row>
    <row r="773" spans="1:2" x14ac:dyDescent="0.25">
      <c r="A773" t="s">
        <v>968</v>
      </c>
      <c r="B773" t="s">
        <v>126</v>
      </c>
    </row>
    <row r="774" spans="1:2" x14ac:dyDescent="0.25">
      <c r="A774" t="s">
        <v>969</v>
      </c>
      <c r="B774" t="s">
        <v>126</v>
      </c>
    </row>
    <row r="775" spans="1:2" x14ac:dyDescent="0.25">
      <c r="A775" t="s">
        <v>970</v>
      </c>
      <c r="B775" t="s">
        <v>126</v>
      </c>
    </row>
    <row r="776" spans="1:2" x14ac:dyDescent="0.25">
      <c r="A776" t="s">
        <v>971</v>
      </c>
      <c r="B776" t="s">
        <v>126</v>
      </c>
    </row>
    <row r="777" spans="1:2" x14ac:dyDescent="0.25">
      <c r="A777" t="s">
        <v>972</v>
      </c>
      <c r="B777" t="s">
        <v>126</v>
      </c>
    </row>
    <row r="778" spans="1:2" x14ac:dyDescent="0.25">
      <c r="A778" t="s">
        <v>973</v>
      </c>
      <c r="B778" t="s">
        <v>126</v>
      </c>
    </row>
    <row r="779" spans="1:2" x14ac:dyDescent="0.25">
      <c r="A779" t="s">
        <v>974</v>
      </c>
      <c r="B779" t="s">
        <v>126</v>
      </c>
    </row>
    <row r="780" spans="1:2" x14ac:dyDescent="0.25">
      <c r="A780" t="s">
        <v>975</v>
      </c>
      <c r="B780" t="s">
        <v>126</v>
      </c>
    </row>
    <row r="781" spans="1:2" x14ac:dyDescent="0.25">
      <c r="A781" t="s">
        <v>976</v>
      </c>
      <c r="B781" t="s">
        <v>126</v>
      </c>
    </row>
    <row r="782" spans="1:2" x14ac:dyDescent="0.25">
      <c r="A782" t="s">
        <v>977</v>
      </c>
      <c r="B782" t="s">
        <v>126</v>
      </c>
    </row>
    <row r="783" spans="1:2" x14ac:dyDescent="0.25">
      <c r="A783" t="s">
        <v>978</v>
      </c>
      <c r="B783" t="s">
        <v>126</v>
      </c>
    </row>
    <row r="784" spans="1:2" x14ac:dyDescent="0.25">
      <c r="A784" t="s">
        <v>979</v>
      </c>
      <c r="B784" t="s">
        <v>126</v>
      </c>
    </row>
    <row r="785" spans="1:2" x14ac:dyDescent="0.25">
      <c r="A785" t="s">
        <v>980</v>
      </c>
      <c r="B785" t="s">
        <v>126</v>
      </c>
    </row>
    <row r="786" spans="1:2" x14ac:dyDescent="0.25">
      <c r="A786" t="s">
        <v>981</v>
      </c>
      <c r="B786" t="s">
        <v>126</v>
      </c>
    </row>
    <row r="787" spans="1:2" x14ac:dyDescent="0.25">
      <c r="A787" t="s">
        <v>982</v>
      </c>
      <c r="B787" t="s">
        <v>126</v>
      </c>
    </row>
    <row r="788" spans="1:2" x14ac:dyDescent="0.25">
      <c r="A788" t="s">
        <v>983</v>
      </c>
      <c r="B788" t="s">
        <v>126</v>
      </c>
    </row>
    <row r="789" spans="1:2" x14ac:dyDescent="0.25">
      <c r="A789" t="s">
        <v>984</v>
      </c>
      <c r="B789" t="s">
        <v>126</v>
      </c>
    </row>
    <row r="790" spans="1:2" x14ac:dyDescent="0.25">
      <c r="A790" t="s">
        <v>985</v>
      </c>
      <c r="B790" t="s">
        <v>126</v>
      </c>
    </row>
    <row r="791" spans="1:2" x14ac:dyDescent="0.25">
      <c r="A791" t="s">
        <v>986</v>
      </c>
      <c r="B791" t="s">
        <v>126</v>
      </c>
    </row>
    <row r="792" spans="1:2" x14ac:dyDescent="0.25">
      <c r="A792" t="s">
        <v>987</v>
      </c>
      <c r="B792" t="s">
        <v>126</v>
      </c>
    </row>
    <row r="793" spans="1:2" x14ac:dyDescent="0.25">
      <c r="A793" t="s">
        <v>988</v>
      </c>
      <c r="B793" t="s">
        <v>126</v>
      </c>
    </row>
    <row r="794" spans="1:2" x14ac:dyDescent="0.25">
      <c r="A794" t="s">
        <v>989</v>
      </c>
      <c r="B794" t="s">
        <v>126</v>
      </c>
    </row>
    <row r="795" spans="1:2" x14ac:dyDescent="0.25">
      <c r="A795" t="s">
        <v>990</v>
      </c>
      <c r="B795" t="s">
        <v>126</v>
      </c>
    </row>
    <row r="796" spans="1:2" x14ac:dyDescent="0.25">
      <c r="A796" t="s">
        <v>991</v>
      </c>
      <c r="B796" t="s">
        <v>126</v>
      </c>
    </row>
    <row r="797" spans="1:2" x14ac:dyDescent="0.25">
      <c r="A797" t="s">
        <v>992</v>
      </c>
      <c r="B797" t="s">
        <v>126</v>
      </c>
    </row>
    <row r="798" spans="1:2" x14ac:dyDescent="0.25">
      <c r="A798" t="s">
        <v>993</v>
      </c>
      <c r="B798" t="s">
        <v>126</v>
      </c>
    </row>
    <row r="799" spans="1:2" x14ac:dyDescent="0.25">
      <c r="A799" t="s">
        <v>994</v>
      </c>
      <c r="B799" t="s">
        <v>126</v>
      </c>
    </row>
    <row r="800" spans="1:2" x14ac:dyDescent="0.25">
      <c r="A800" t="s">
        <v>995</v>
      </c>
      <c r="B800" t="s">
        <v>126</v>
      </c>
    </row>
    <row r="801" spans="1:2" x14ac:dyDescent="0.25">
      <c r="A801" t="s">
        <v>996</v>
      </c>
      <c r="B801" t="s">
        <v>126</v>
      </c>
    </row>
    <row r="802" spans="1:2" x14ac:dyDescent="0.25">
      <c r="A802" t="s">
        <v>997</v>
      </c>
      <c r="B802" t="s">
        <v>126</v>
      </c>
    </row>
    <row r="803" spans="1:2" x14ac:dyDescent="0.25">
      <c r="A803" t="s">
        <v>998</v>
      </c>
      <c r="B803" t="s">
        <v>126</v>
      </c>
    </row>
    <row r="804" spans="1:2" x14ac:dyDescent="0.25">
      <c r="A804" t="s">
        <v>591</v>
      </c>
      <c r="B804" t="s">
        <v>126</v>
      </c>
    </row>
    <row r="805" spans="1:2" x14ac:dyDescent="0.25">
      <c r="A805" t="s">
        <v>592</v>
      </c>
      <c r="B805" t="s">
        <v>126</v>
      </c>
    </row>
    <row r="806" spans="1:2" x14ac:dyDescent="0.25">
      <c r="A806" t="s">
        <v>187</v>
      </c>
      <c r="B806" t="s">
        <v>126</v>
      </c>
    </row>
    <row r="807" spans="1:2" x14ac:dyDescent="0.25">
      <c r="A807" t="s">
        <v>999</v>
      </c>
      <c r="B807" t="s">
        <v>126</v>
      </c>
    </row>
    <row r="808" spans="1:2" x14ac:dyDescent="0.25">
      <c r="A808" t="s">
        <v>1000</v>
      </c>
      <c r="B808" t="s">
        <v>126</v>
      </c>
    </row>
    <row r="809" spans="1:2" x14ac:dyDescent="0.25">
      <c r="A809" t="s">
        <v>603</v>
      </c>
      <c r="B809" t="s">
        <v>126</v>
      </c>
    </row>
    <row r="810" spans="1:2" x14ac:dyDescent="0.25">
      <c r="A810" t="s">
        <v>1001</v>
      </c>
      <c r="B810" t="s">
        <v>126</v>
      </c>
    </row>
    <row r="811" spans="1:2" x14ac:dyDescent="0.25">
      <c r="A811" t="s">
        <v>1002</v>
      </c>
      <c r="B811" t="s">
        <v>126</v>
      </c>
    </row>
    <row r="812" spans="1:2" x14ac:dyDescent="0.25">
      <c r="A812" t="s">
        <v>1003</v>
      </c>
      <c r="B812" t="s">
        <v>126</v>
      </c>
    </row>
    <row r="813" spans="1:2" x14ac:dyDescent="0.25">
      <c r="A813" t="s">
        <v>1004</v>
      </c>
      <c r="B813" t="s">
        <v>126</v>
      </c>
    </row>
    <row r="814" spans="1:2" x14ac:dyDescent="0.25">
      <c r="A814" t="s">
        <v>1005</v>
      </c>
      <c r="B814" t="s">
        <v>126</v>
      </c>
    </row>
    <row r="815" spans="1:2" x14ac:dyDescent="0.25">
      <c r="A815" t="s">
        <v>1006</v>
      </c>
      <c r="B815" t="s">
        <v>126</v>
      </c>
    </row>
    <row r="816" spans="1:2" x14ac:dyDescent="0.25">
      <c r="A816" t="s">
        <v>1007</v>
      </c>
      <c r="B816" t="s">
        <v>126</v>
      </c>
    </row>
    <row r="817" spans="1:2" x14ac:dyDescent="0.25">
      <c r="A817" t="s">
        <v>1008</v>
      </c>
      <c r="B817" t="s">
        <v>126</v>
      </c>
    </row>
    <row r="818" spans="1:2" x14ac:dyDescent="0.25">
      <c r="A818" t="s">
        <v>1009</v>
      </c>
      <c r="B818" t="s">
        <v>126</v>
      </c>
    </row>
    <row r="819" spans="1:2" x14ac:dyDescent="0.25">
      <c r="A819" t="s">
        <v>1010</v>
      </c>
      <c r="B819" t="s">
        <v>126</v>
      </c>
    </row>
    <row r="820" spans="1:2" x14ac:dyDescent="0.25">
      <c r="A820" t="s">
        <v>1011</v>
      </c>
      <c r="B820" t="s">
        <v>126</v>
      </c>
    </row>
    <row r="821" spans="1:2" x14ac:dyDescent="0.25">
      <c r="A821" t="s">
        <v>1012</v>
      </c>
      <c r="B821" t="s">
        <v>126</v>
      </c>
    </row>
    <row r="822" spans="1:2" x14ac:dyDescent="0.25">
      <c r="A822" t="s">
        <v>1013</v>
      </c>
      <c r="B822" t="s">
        <v>126</v>
      </c>
    </row>
    <row r="823" spans="1:2" x14ac:dyDescent="0.25">
      <c r="A823" t="s">
        <v>1014</v>
      </c>
      <c r="B823" t="s">
        <v>126</v>
      </c>
    </row>
    <row r="824" spans="1:2" x14ac:dyDescent="0.25">
      <c r="A824" t="s">
        <v>1015</v>
      </c>
      <c r="B824" t="s">
        <v>126</v>
      </c>
    </row>
    <row r="825" spans="1:2" x14ac:dyDescent="0.25">
      <c r="A825" t="s">
        <v>1016</v>
      </c>
      <c r="B825" t="s">
        <v>126</v>
      </c>
    </row>
    <row r="826" spans="1:2" x14ac:dyDescent="0.25">
      <c r="A826" t="s">
        <v>1017</v>
      </c>
      <c r="B826" t="s">
        <v>126</v>
      </c>
    </row>
    <row r="827" spans="1:2" x14ac:dyDescent="0.25">
      <c r="A827" t="s">
        <v>1018</v>
      </c>
      <c r="B827" t="s">
        <v>126</v>
      </c>
    </row>
    <row r="828" spans="1:2" x14ac:dyDescent="0.25">
      <c r="A828" t="s">
        <v>1019</v>
      </c>
      <c r="B828" t="s">
        <v>126</v>
      </c>
    </row>
    <row r="829" spans="1:2" x14ac:dyDescent="0.25">
      <c r="A829" t="s">
        <v>1020</v>
      </c>
      <c r="B829" t="s">
        <v>126</v>
      </c>
    </row>
    <row r="830" spans="1:2" x14ac:dyDescent="0.25">
      <c r="A830" t="s">
        <v>1021</v>
      </c>
      <c r="B830" t="s">
        <v>126</v>
      </c>
    </row>
    <row r="831" spans="1:2" x14ac:dyDescent="0.25">
      <c r="A831" t="s">
        <v>1022</v>
      </c>
      <c r="B831" t="s">
        <v>126</v>
      </c>
    </row>
    <row r="832" spans="1:2" x14ac:dyDescent="0.25">
      <c r="A832" t="s">
        <v>1023</v>
      </c>
      <c r="B832" t="s">
        <v>126</v>
      </c>
    </row>
    <row r="833" spans="1:2" x14ac:dyDescent="0.25">
      <c r="A833" t="s">
        <v>1024</v>
      </c>
      <c r="B833" t="s">
        <v>126</v>
      </c>
    </row>
    <row r="834" spans="1:2" x14ac:dyDescent="0.25">
      <c r="A834" t="s">
        <v>1025</v>
      </c>
      <c r="B834" t="s">
        <v>126</v>
      </c>
    </row>
    <row r="835" spans="1:2" x14ac:dyDescent="0.25">
      <c r="A835" t="s">
        <v>1026</v>
      </c>
      <c r="B835" t="s">
        <v>126</v>
      </c>
    </row>
    <row r="836" spans="1:2" x14ac:dyDescent="0.25">
      <c r="A836" t="s">
        <v>1027</v>
      </c>
      <c r="B836" t="s">
        <v>126</v>
      </c>
    </row>
    <row r="837" spans="1:2" x14ac:dyDescent="0.25">
      <c r="A837" t="s">
        <v>1028</v>
      </c>
      <c r="B837" t="s">
        <v>126</v>
      </c>
    </row>
    <row r="838" spans="1:2" x14ac:dyDescent="0.25">
      <c r="A838" t="s">
        <v>1029</v>
      </c>
      <c r="B838" t="s">
        <v>126</v>
      </c>
    </row>
    <row r="839" spans="1:2" x14ac:dyDescent="0.25">
      <c r="A839" t="s">
        <v>1030</v>
      </c>
      <c r="B839" t="s">
        <v>126</v>
      </c>
    </row>
    <row r="840" spans="1:2" x14ac:dyDescent="0.25">
      <c r="A840" t="s">
        <v>1031</v>
      </c>
      <c r="B840" t="s">
        <v>126</v>
      </c>
    </row>
    <row r="841" spans="1:2" x14ac:dyDescent="0.25">
      <c r="A841" t="s">
        <v>1032</v>
      </c>
      <c r="B841" t="s">
        <v>126</v>
      </c>
    </row>
    <row r="842" spans="1:2" x14ac:dyDescent="0.25">
      <c r="A842" t="s">
        <v>1033</v>
      </c>
      <c r="B842" t="s">
        <v>126</v>
      </c>
    </row>
    <row r="843" spans="1:2" x14ac:dyDescent="0.25">
      <c r="A843" t="s">
        <v>1034</v>
      </c>
      <c r="B843" t="s">
        <v>126</v>
      </c>
    </row>
    <row r="844" spans="1:2" x14ac:dyDescent="0.25">
      <c r="A844" t="s">
        <v>1035</v>
      </c>
      <c r="B844" t="s">
        <v>126</v>
      </c>
    </row>
    <row r="845" spans="1:2" x14ac:dyDescent="0.25">
      <c r="A845" t="s">
        <v>1036</v>
      </c>
      <c r="B845" t="s">
        <v>126</v>
      </c>
    </row>
    <row r="846" spans="1:2" x14ac:dyDescent="0.25">
      <c r="A846" t="s">
        <v>1037</v>
      </c>
      <c r="B846" t="s">
        <v>126</v>
      </c>
    </row>
    <row r="847" spans="1:2" x14ac:dyDescent="0.25">
      <c r="A847" t="s">
        <v>1038</v>
      </c>
      <c r="B847" t="s">
        <v>126</v>
      </c>
    </row>
    <row r="848" spans="1:2" x14ac:dyDescent="0.25">
      <c r="A848" t="s">
        <v>1039</v>
      </c>
      <c r="B848" t="s">
        <v>126</v>
      </c>
    </row>
    <row r="849" spans="1:2" x14ac:dyDescent="0.25">
      <c r="A849" t="s">
        <v>1040</v>
      </c>
      <c r="B849" t="s">
        <v>126</v>
      </c>
    </row>
    <row r="850" spans="1:2" x14ac:dyDescent="0.25">
      <c r="A850" t="s">
        <v>1041</v>
      </c>
      <c r="B850" t="s">
        <v>126</v>
      </c>
    </row>
    <row r="851" spans="1:2" x14ac:dyDescent="0.25">
      <c r="A851" t="s">
        <v>1042</v>
      </c>
      <c r="B851" t="s">
        <v>126</v>
      </c>
    </row>
    <row r="852" spans="1:2" x14ac:dyDescent="0.25">
      <c r="A852" t="s">
        <v>1043</v>
      </c>
      <c r="B852" t="s">
        <v>126</v>
      </c>
    </row>
    <row r="853" spans="1:2" x14ac:dyDescent="0.25">
      <c r="A853" t="s">
        <v>1044</v>
      </c>
      <c r="B853" t="s">
        <v>126</v>
      </c>
    </row>
    <row r="854" spans="1:2" x14ac:dyDescent="0.25">
      <c r="A854" t="s">
        <v>1045</v>
      </c>
      <c r="B854" t="s">
        <v>126</v>
      </c>
    </row>
    <row r="855" spans="1:2" x14ac:dyDescent="0.25">
      <c r="A855" t="s">
        <v>1046</v>
      </c>
      <c r="B855" t="s">
        <v>126</v>
      </c>
    </row>
    <row r="856" spans="1:2" x14ac:dyDescent="0.25">
      <c r="A856" t="s">
        <v>1047</v>
      </c>
      <c r="B856" t="s">
        <v>126</v>
      </c>
    </row>
    <row r="857" spans="1:2" x14ac:dyDescent="0.25">
      <c r="A857" t="s">
        <v>1048</v>
      </c>
      <c r="B857" t="s">
        <v>126</v>
      </c>
    </row>
    <row r="858" spans="1:2" x14ac:dyDescent="0.25">
      <c r="A858" t="s">
        <v>1049</v>
      </c>
      <c r="B858" t="s">
        <v>126</v>
      </c>
    </row>
    <row r="859" spans="1:2" x14ac:dyDescent="0.25">
      <c r="A859" t="s">
        <v>1050</v>
      </c>
      <c r="B859" t="s">
        <v>126</v>
      </c>
    </row>
    <row r="860" spans="1:2" x14ac:dyDescent="0.25">
      <c r="A860" t="s">
        <v>1051</v>
      </c>
      <c r="B860" t="s">
        <v>126</v>
      </c>
    </row>
    <row r="861" spans="1:2" x14ac:dyDescent="0.25">
      <c r="A861" t="s">
        <v>1052</v>
      </c>
      <c r="B861" t="s">
        <v>126</v>
      </c>
    </row>
    <row r="862" spans="1:2" x14ac:dyDescent="0.25">
      <c r="A862" t="s">
        <v>1053</v>
      </c>
      <c r="B862" t="s">
        <v>126</v>
      </c>
    </row>
    <row r="863" spans="1:2" x14ac:dyDescent="0.25">
      <c r="A863" t="s">
        <v>1054</v>
      </c>
      <c r="B863" t="s">
        <v>126</v>
      </c>
    </row>
    <row r="864" spans="1:2" x14ac:dyDescent="0.25">
      <c r="A864" t="s">
        <v>1055</v>
      </c>
      <c r="B864" t="s">
        <v>126</v>
      </c>
    </row>
    <row r="865" spans="1:2" x14ac:dyDescent="0.25">
      <c r="A865" t="s">
        <v>1056</v>
      </c>
      <c r="B865" t="s">
        <v>126</v>
      </c>
    </row>
    <row r="866" spans="1:2" x14ac:dyDescent="0.25">
      <c r="A866" t="s">
        <v>1057</v>
      </c>
      <c r="B866" t="s">
        <v>126</v>
      </c>
    </row>
    <row r="867" spans="1:2" x14ac:dyDescent="0.25">
      <c r="A867" t="s">
        <v>1058</v>
      </c>
      <c r="B867" t="s">
        <v>126</v>
      </c>
    </row>
    <row r="868" spans="1:2" x14ac:dyDescent="0.25">
      <c r="A868" t="s">
        <v>1059</v>
      </c>
      <c r="B868" t="s">
        <v>126</v>
      </c>
    </row>
    <row r="869" spans="1:2" x14ac:dyDescent="0.25">
      <c r="A869" t="s">
        <v>1060</v>
      </c>
      <c r="B869" t="s">
        <v>126</v>
      </c>
    </row>
    <row r="870" spans="1:2" x14ac:dyDescent="0.25">
      <c r="A870" t="s">
        <v>1061</v>
      </c>
      <c r="B870" t="s">
        <v>126</v>
      </c>
    </row>
    <row r="871" spans="1:2" x14ac:dyDescent="0.25">
      <c r="A871" t="s">
        <v>1062</v>
      </c>
      <c r="B871" t="s">
        <v>126</v>
      </c>
    </row>
    <row r="872" spans="1:2" x14ac:dyDescent="0.25">
      <c r="A872" t="s">
        <v>1063</v>
      </c>
      <c r="B872" t="s">
        <v>126</v>
      </c>
    </row>
    <row r="873" spans="1:2" x14ac:dyDescent="0.25">
      <c r="A873" t="s">
        <v>1064</v>
      </c>
      <c r="B873" t="s">
        <v>126</v>
      </c>
    </row>
    <row r="874" spans="1:2" x14ac:dyDescent="0.25">
      <c r="A874" t="s">
        <v>1065</v>
      </c>
      <c r="B874" t="s">
        <v>126</v>
      </c>
    </row>
    <row r="875" spans="1:2" x14ac:dyDescent="0.25">
      <c r="A875" t="s">
        <v>1066</v>
      </c>
      <c r="B875" t="s">
        <v>126</v>
      </c>
    </row>
    <row r="876" spans="1:2" x14ac:dyDescent="0.25">
      <c r="A876" t="s">
        <v>1067</v>
      </c>
      <c r="B876" t="s">
        <v>126</v>
      </c>
    </row>
    <row r="877" spans="1:2" x14ac:dyDescent="0.25">
      <c r="A877" t="s">
        <v>1068</v>
      </c>
      <c r="B877" t="s">
        <v>126</v>
      </c>
    </row>
    <row r="878" spans="1:2" x14ac:dyDescent="0.25">
      <c r="A878" t="s">
        <v>1069</v>
      </c>
      <c r="B878" t="s">
        <v>126</v>
      </c>
    </row>
    <row r="879" spans="1:2" x14ac:dyDescent="0.25">
      <c r="A879" t="s">
        <v>1070</v>
      </c>
      <c r="B879" t="s">
        <v>126</v>
      </c>
    </row>
    <row r="880" spans="1:2" x14ac:dyDescent="0.25">
      <c r="A880" t="s">
        <v>1071</v>
      </c>
      <c r="B880" t="s">
        <v>126</v>
      </c>
    </row>
    <row r="881" spans="1:2" x14ac:dyDescent="0.25">
      <c r="A881" t="s">
        <v>1072</v>
      </c>
      <c r="B881" t="s">
        <v>126</v>
      </c>
    </row>
    <row r="882" spans="1:2" x14ac:dyDescent="0.25">
      <c r="A882" t="s">
        <v>1073</v>
      </c>
      <c r="B882" t="s">
        <v>126</v>
      </c>
    </row>
    <row r="883" spans="1:2" x14ac:dyDescent="0.25">
      <c r="A883" t="s">
        <v>1074</v>
      </c>
      <c r="B883" t="s">
        <v>126</v>
      </c>
    </row>
    <row r="884" spans="1:2" x14ac:dyDescent="0.25">
      <c r="A884" t="s">
        <v>1075</v>
      </c>
      <c r="B884" t="s">
        <v>126</v>
      </c>
    </row>
    <row r="885" spans="1:2" x14ac:dyDescent="0.25">
      <c r="A885" t="s">
        <v>1076</v>
      </c>
      <c r="B885" t="s">
        <v>126</v>
      </c>
    </row>
    <row r="886" spans="1:2" x14ac:dyDescent="0.25">
      <c r="A886" t="s">
        <v>1077</v>
      </c>
      <c r="B886" t="s">
        <v>126</v>
      </c>
    </row>
    <row r="887" spans="1:2" x14ac:dyDescent="0.25">
      <c r="A887" t="s">
        <v>1078</v>
      </c>
      <c r="B887" t="s">
        <v>126</v>
      </c>
    </row>
    <row r="888" spans="1:2" x14ac:dyDescent="0.25">
      <c r="A888" t="s">
        <v>1079</v>
      </c>
      <c r="B888" t="s">
        <v>126</v>
      </c>
    </row>
    <row r="889" spans="1:2" x14ac:dyDescent="0.25">
      <c r="A889" t="s">
        <v>1080</v>
      </c>
      <c r="B889" t="s">
        <v>126</v>
      </c>
    </row>
    <row r="890" spans="1:2" x14ac:dyDescent="0.25">
      <c r="A890" t="s">
        <v>1081</v>
      </c>
      <c r="B890" t="s">
        <v>126</v>
      </c>
    </row>
    <row r="891" spans="1:2" x14ac:dyDescent="0.25">
      <c r="A891" t="s">
        <v>1082</v>
      </c>
      <c r="B891" t="s">
        <v>126</v>
      </c>
    </row>
    <row r="892" spans="1:2" x14ac:dyDescent="0.25">
      <c r="A892" t="s">
        <v>1083</v>
      </c>
      <c r="B892" t="s">
        <v>126</v>
      </c>
    </row>
    <row r="893" spans="1:2" x14ac:dyDescent="0.25">
      <c r="A893" t="s">
        <v>1084</v>
      </c>
      <c r="B893" t="s">
        <v>126</v>
      </c>
    </row>
    <row r="894" spans="1:2" x14ac:dyDescent="0.25">
      <c r="A894" t="s">
        <v>1085</v>
      </c>
      <c r="B894" t="s">
        <v>126</v>
      </c>
    </row>
    <row r="895" spans="1:2" x14ac:dyDescent="0.25">
      <c r="A895" t="s">
        <v>1086</v>
      </c>
      <c r="B895" t="s">
        <v>126</v>
      </c>
    </row>
    <row r="896" spans="1:2" x14ac:dyDescent="0.25">
      <c r="A896" t="s">
        <v>1087</v>
      </c>
      <c r="B896" t="s">
        <v>126</v>
      </c>
    </row>
    <row r="897" spans="1:2" x14ac:dyDescent="0.25">
      <c r="A897" t="s">
        <v>1088</v>
      </c>
      <c r="B897" t="s">
        <v>126</v>
      </c>
    </row>
    <row r="898" spans="1:2" x14ac:dyDescent="0.25">
      <c r="A898" t="s">
        <v>1089</v>
      </c>
      <c r="B898" t="s">
        <v>126</v>
      </c>
    </row>
    <row r="899" spans="1:2" x14ac:dyDescent="0.25">
      <c r="A899" t="s">
        <v>1090</v>
      </c>
      <c r="B899" t="s">
        <v>126</v>
      </c>
    </row>
    <row r="900" spans="1:2" x14ac:dyDescent="0.25">
      <c r="A900" t="s">
        <v>1091</v>
      </c>
      <c r="B900" t="s">
        <v>126</v>
      </c>
    </row>
    <row r="901" spans="1:2" x14ac:dyDescent="0.25">
      <c r="A901" t="s">
        <v>1092</v>
      </c>
      <c r="B901" t="s">
        <v>126</v>
      </c>
    </row>
    <row r="902" spans="1:2" x14ac:dyDescent="0.25">
      <c r="A902" t="s">
        <v>1093</v>
      </c>
      <c r="B902" t="s">
        <v>126</v>
      </c>
    </row>
    <row r="903" spans="1:2" x14ac:dyDescent="0.25">
      <c r="A903" t="s">
        <v>1094</v>
      </c>
      <c r="B903" t="s">
        <v>126</v>
      </c>
    </row>
    <row r="904" spans="1:2" x14ac:dyDescent="0.25">
      <c r="A904" t="s">
        <v>1095</v>
      </c>
      <c r="B904" t="s">
        <v>126</v>
      </c>
    </row>
    <row r="905" spans="1:2" x14ac:dyDescent="0.25">
      <c r="A905" t="s">
        <v>1096</v>
      </c>
      <c r="B905" t="s">
        <v>126</v>
      </c>
    </row>
    <row r="906" spans="1:2" x14ac:dyDescent="0.25">
      <c r="A906" t="s">
        <v>1097</v>
      </c>
      <c r="B906" t="s">
        <v>126</v>
      </c>
    </row>
    <row r="907" spans="1:2" x14ac:dyDescent="0.25">
      <c r="A907" t="s">
        <v>1098</v>
      </c>
      <c r="B907" t="s">
        <v>126</v>
      </c>
    </row>
    <row r="908" spans="1:2" x14ac:dyDescent="0.25">
      <c r="A908" t="s">
        <v>1099</v>
      </c>
      <c r="B908" t="s">
        <v>126</v>
      </c>
    </row>
    <row r="909" spans="1:2" x14ac:dyDescent="0.25">
      <c r="A909" t="s">
        <v>1100</v>
      </c>
      <c r="B909" t="s">
        <v>127</v>
      </c>
    </row>
    <row r="910" spans="1:2" x14ac:dyDescent="0.25">
      <c r="A910" t="s">
        <v>1101</v>
      </c>
      <c r="B910" t="s">
        <v>126</v>
      </c>
    </row>
    <row r="911" spans="1:2" x14ac:dyDescent="0.25">
      <c r="A911" t="s">
        <v>1102</v>
      </c>
      <c r="B911" t="s">
        <v>126</v>
      </c>
    </row>
    <row r="912" spans="1:2" x14ac:dyDescent="0.25">
      <c r="A912" t="s">
        <v>1103</v>
      </c>
      <c r="B912" t="s">
        <v>126</v>
      </c>
    </row>
    <row r="913" spans="1:2" x14ac:dyDescent="0.25">
      <c r="A913" t="s">
        <v>1104</v>
      </c>
      <c r="B913" t="s">
        <v>128</v>
      </c>
    </row>
    <row r="914" spans="1:2" x14ac:dyDescent="0.25">
      <c r="A914" t="s">
        <v>1105</v>
      </c>
      <c r="B914" t="s">
        <v>128</v>
      </c>
    </row>
    <row r="915" spans="1:2" x14ac:dyDescent="0.25">
      <c r="A915" t="s">
        <v>1106</v>
      </c>
      <c r="B915" t="s">
        <v>128</v>
      </c>
    </row>
    <row r="916" spans="1:2" x14ac:dyDescent="0.25">
      <c r="A916" t="s">
        <v>1107</v>
      </c>
      <c r="B916" t="s">
        <v>128</v>
      </c>
    </row>
    <row r="917" spans="1:2" x14ac:dyDescent="0.25">
      <c r="A917" t="s">
        <v>1108</v>
      </c>
      <c r="B917" t="s">
        <v>128</v>
      </c>
    </row>
    <row r="918" spans="1:2" x14ac:dyDescent="0.25">
      <c r="A918" t="s">
        <v>1109</v>
      </c>
      <c r="B918" t="s">
        <v>128</v>
      </c>
    </row>
    <row r="919" spans="1:2" x14ac:dyDescent="0.25">
      <c r="A919" t="s">
        <v>1110</v>
      </c>
      <c r="B919" t="s">
        <v>128</v>
      </c>
    </row>
    <row r="920" spans="1:2" x14ac:dyDescent="0.25">
      <c r="A920" t="s">
        <v>1111</v>
      </c>
      <c r="B920" t="s">
        <v>128</v>
      </c>
    </row>
    <row r="921" spans="1:2" x14ac:dyDescent="0.25">
      <c r="A921" t="s">
        <v>1112</v>
      </c>
      <c r="B921" t="s">
        <v>128</v>
      </c>
    </row>
    <row r="922" spans="1:2" x14ac:dyDescent="0.25">
      <c r="A922" t="s">
        <v>1113</v>
      </c>
      <c r="B922" t="s">
        <v>128</v>
      </c>
    </row>
    <row r="923" spans="1:2" x14ac:dyDescent="0.25">
      <c r="A923" t="s">
        <v>1114</v>
      </c>
      <c r="B923" t="s">
        <v>128</v>
      </c>
    </row>
    <row r="924" spans="1:2" x14ac:dyDescent="0.25">
      <c r="A924" t="s">
        <v>1115</v>
      </c>
      <c r="B924" t="s">
        <v>128</v>
      </c>
    </row>
    <row r="925" spans="1:2" x14ac:dyDescent="0.25">
      <c r="A925" t="s">
        <v>1116</v>
      </c>
      <c r="B925" t="s">
        <v>128</v>
      </c>
    </row>
    <row r="926" spans="1:2" x14ac:dyDescent="0.25">
      <c r="A926" t="s">
        <v>1117</v>
      </c>
      <c r="B926" t="s">
        <v>128</v>
      </c>
    </row>
    <row r="927" spans="1:2" x14ac:dyDescent="0.25">
      <c r="A927" t="s">
        <v>1118</v>
      </c>
      <c r="B927" t="s">
        <v>128</v>
      </c>
    </row>
    <row r="928" spans="1:2" x14ac:dyDescent="0.25">
      <c r="A928" t="s">
        <v>1119</v>
      </c>
      <c r="B928" t="s">
        <v>128</v>
      </c>
    </row>
    <row r="929" spans="1:2" x14ac:dyDescent="0.25">
      <c r="A929" t="s">
        <v>1120</v>
      </c>
      <c r="B929" t="s">
        <v>128</v>
      </c>
    </row>
    <row r="930" spans="1:2" x14ac:dyDescent="0.25">
      <c r="A930" t="s">
        <v>1121</v>
      </c>
      <c r="B930" t="s">
        <v>128</v>
      </c>
    </row>
    <row r="931" spans="1:2" x14ac:dyDescent="0.25">
      <c r="A931" t="s">
        <v>1122</v>
      </c>
      <c r="B931" t="s">
        <v>128</v>
      </c>
    </row>
    <row r="932" spans="1:2" x14ac:dyDescent="0.25">
      <c r="A932" t="s">
        <v>1123</v>
      </c>
      <c r="B932" t="s">
        <v>128</v>
      </c>
    </row>
    <row r="933" spans="1:2" x14ac:dyDescent="0.25">
      <c r="A933" t="s">
        <v>1124</v>
      </c>
      <c r="B933" t="s">
        <v>128</v>
      </c>
    </row>
    <row r="934" spans="1:2" x14ac:dyDescent="0.25">
      <c r="A934" t="s">
        <v>1125</v>
      </c>
      <c r="B934" t="s">
        <v>128</v>
      </c>
    </row>
    <row r="935" spans="1:2" x14ac:dyDescent="0.25">
      <c r="A935" t="s">
        <v>1126</v>
      </c>
      <c r="B935" t="s">
        <v>128</v>
      </c>
    </row>
    <row r="936" spans="1:2" x14ac:dyDescent="0.25">
      <c r="A936" t="s">
        <v>1127</v>
      </c>
      <c r="B936" t="s">
        <v>128</v>
      </c>
    </row>
    <row r="937" spans="1:2" x14ac:dyDescent="0.25">
      <c r="A937" t="s">
        <v>1128</v>
      </c>
      <c r="B937" t="s">
        <v>128</v>
      </c>
    </row>
    <row r="938" spans="1:2" x14ac:dyDescent="0.25">
      <c r="A938" t="s">
        <v>1129</v>
      </c>
      <c r="B938" t="s">
        <v>128</v>
      </c>
    </row>
    <row r="939" spans="1:2" x14ac:dyDescent="0.25">
      <c r="A939" t="s">
        <v>1130</v>
      </c>
      <c r="B939" t="s">
        <v>128</v>
      </c>
    </row>
    <row r="940" spans="1:2" x14ac:dyDescent="0.25">
      <c r="A940" t="s">
        <v>1131</v>
      </c>
      <c r="B940" t="s">
        <v>128</v>
      </c>
    </row>
    <row r="941" spans="1:2" x14ac:dyDescent="0.25">
      <c r="A941" t="s">
        <v>1132</v>
      </c>
      <c r="B941" t="s">
        <v>128</v>
      </c>
    </row>
    <row r="942" spans="1:2" x14ac:dyDescent="0.25">
      <c r="A942" t="s">
        <v>1133</v>
      </c>
      <c r="B942" t="s">
        <v>128</v>
      </c>
    </row>
    <row r="943" spans="1:2" x14ac:dyDescent="0.25">
      <c r="A943" t="s">
        <v>1134</v>
      </c>
      <c r="B943" t="s">
        <v>128</v>
      </c>
    </row>
    <row r="944" spans="1:2" x14ac:dyDescent="0.25">
      <c r="A944" t="s">
        <v>1135</v>
      </c>
      <c r="B944" t="s">
        <v>128</v>
      </c>
    </row>
    <row r="945" spans="1:2" x14ac:dyDescent="0.25">
      <c r="A945" t="s">
        <v>1136</v>
      </c>
      <c r="B945" t="s">
        <v>128</v>
      </c>
    </row>
    <row r="946" spans="1:2" x14ac:dyDescent="0.25">
      <c r="A946" t="s">
        <v>1137</v>
      </c>
      <c r="B946" t="s">
        <v>128</v>
      </c>
    </row>
    <row r="947" spans="1:2" x14ac:dyDescent="0.25">
      <c r="A947" t="s">
        <v>1138</v>
      </c>
      <c r="B947" t="s">
        <v>128</v>
      </c>
    </row>
    <row r="948" spans="1:2" x14ac:dyDescent="0.25">
      <c r="A948" t="s">
        <v>1139</v>
      </c>
      <c r="B948" t="s">
        <v>128</v>
      </c>
    </row>
    <row r="949" spans="1:2" x14ac:dyDescent="0.25">
      <c r="A949" t="s">
        <v>206</v>
      </c>
      <c r="B949" t="s">
        <v>128</v>
      </c>
    </row>
    <row r="950" spans="1:2" x14ac:dyDescent="0.25">
      <c r="A950" t="s">
        <v>1140</v>
      </c>
      <c r="B950" t="s">
        <v>128</v>
      </c>
    </row>
    <row r="951" spans="1:2" x14ac:dyDescent="0.25">
      <c r="A951" t="s">
        <v>1141</v>
      </c>
      <c r="B951" t="s">
        <v>128</v>
      </c>
    </row>
    <row r="952" spans="1:2" x14ac:dyDescent="0.25">
      <c r="A952" t="s">
        <v>1142</v>
      </c>
      <c r="B952" t="s">
        <v>128</v>
      </c>
    </row>
    <row r="953" spans="1:2" x14ac:dyDescent="0.25">
      <c r="A953" t="s">
        <v>1143</v>
      </c>
      <c r="B953" t="s">
        <v>128</v>
      </c>
    </row>
    <row r="954" spans="1:2" x14ac:dyDescent="0.25">
      <c r="A954" t="s">
        <v>1144</v>
      </c>
      <c r="B954" t="s">
        <v>128</v>
      </c>
    </row>
    <row r="955" spans="1:2" x14ac:dyDescent="0.25">
      <c r="A955" t="s">
        <v>201</v>
      </c>
      <c r="B955" t="s">
        <v>128</v>
      </c>
    </row>
    <row r="956" spans="1:2" x14ac:dyDescent="0.25">
      <c r="A956" t="s">
        <v>1145</v>
      </c>
      <c r="B956" t="s">
        <v>128</v>
      </c>
    </row>
    <row r="957" spans="1:2" x14ac:dyDescent="0.25">
      <c r="A957" t="s">
        <v>1146</v>
      </c>
      <c r="B957" t="s">
        <v>128</v>
      </c>
    </row>
    <row r="958" spans="1:2" x14ac:dyDescent="0.25">
      <c r="A958" t="s">
        <v>1147</v>
      </c>
      <c r="B958" t="s">
        <v>128</v>
      </c>
    </row>
    <row r="959" spans="1:2" x14ac:dyDescent="0.25">
      <c r="A959" t="s">
        <v>1148</v>
      </c>
      <c r="B959" t="s">
        <v>128</v>
      </c>
    </row>
    <row r="960" spans="1:2" x14ac:dyDescent="0.25">
      <c r="A960" t="s">
        <v>1149</v>
      </c>
      <c r="B960" t="s">
        <v>128</v>
      </c>
    </row>
    <row r="961" spans="1:2" x14ac:dyDescent="0.25">
      <c r="A961" t="s">
        <v>1150</v>
      </c>
      <c r="B961" t="s">
        <v>128</v>
      </c>
    </row>
    <row r="962" spans="1:2" x14ac:dyDescent="0.25">
      <c r="A962" t="s">
        <v>591</v>
      </c>
      <c r="B962" t="s">
        <v>128</v>
      </c>
    </row>
    <row r="963" spans="1:2" x14ac:dyDescent="0.25">
      <c r="A963" t="s">
        <v>999</v>
      </c>
      <c r="B963" t="s">
        <v>128</v>
      </c>
    </row>
    <row r="964" spans="1:2" x14ac:dyDescent="0.25">
      <c r="A964" t="s">
        <v>1151</v>
      </c>
      <c r="B964" t="s">
        <v>128</v>
      </c>
    </row>
    <row r="965" spans="1:2" x14ac:dyDescent="0.25">
      <c r="A965" t="s">
        <v>1152</v>
      </c>
      <c r="B965" t="s">
        <v>128</v>
      </c>
    </row>
    <row r="966" spans="1:2" x14ac:dyDescent="0.25">
      <c r="A966" t="s">
        <v>180</v>
      </c>
      <c r="B966" t="s">
        <v>128</v>
      </c>
    </row>
    <row r="967" spans="1:2" x14ac:dyDescent="0.25">
      <c r="A967" t="s">
        <v>599</v>
      </c>
      <c r="B967" t="s">
        <v>128</v>
      </c>
    </row>
    <row r="968" spans="1:2" x14ac:dyDescent="0.25">
      <c r="A968" t="s">
        <v>1153</v>
      </c>
      <c r="B968" t="s">
        <v>128</v>
      </c>
    </row>
    <row r="969" spans="1:2" x14ac:dyDescent="0.25">
      <c r="A969" t="s">
        <v>169</v>
      </c>
      <c r="B969" t="s">
        <v>128</v>
      </c>
    </row>
    <row r="970" spans="1:2" x14ac:dyDescent="0.25">
      <c r="A970" t="s">
        <v>1154</v>
      </c>
      <c r="B970" t="s">
        <v>128</v>
      </c>
    </row>
    <row r="971" spans="1:2" x14ac:dyDescent="0.25">
      <c r="A971" t="s">
        <v>1155</v>
      </c>
      <c r="B971" t="s">
        <v>128</v>
      </c>
    </row>
    <row r="972" spans="1:2" x14ac:dyDescent="0.25">
      <c r="A972" t="s">
        <v>902</v>
      </c>
      <c r="B972" t="s">
        <v>128</v>
      </c>
    </row>
    <row r="973" spans="1:2" x14ac:dyDescent="0.25">
      <c r="A973" t="s">
        <v>140</v>
      </c>
      <c r="B973" t="s">
        <v>128</v>
      </c>
    </row>
    <row r="974" spans="1:2" x14ac:dyDescent="0.25">
      <c r="A974" t="s">
        <v>1156</v>
      </c>
      <c r="B974" t="s">
        <v>128</v>
      </c>
    </row>
    <row r="975" spans="1:2" x14ac:dyDescent="0.25">
      <c r="A975" t="s">
        <v>170</v>
      </c>
      <c r="B975" t="s">
        <v>128</v>
      </c>
    </row>
    <row r="976" spans="1:2" x14ac:dyDescent="0.25">
      <c r="A976" t="s">
        <v>1157</v>
      </c>
      <c r="B976" t="s">
        <v>128</v>
      </c>
    </row>
    <row r="977" spans="1:2" x14ac:dyDescent="0.25">
      <c r="A977" t="s">
        <v>1158</v>
      </c>
      <c r="B977" t="s">
        <v>128</v>
      </c>
    </row>
    <row r="978" spans="1:2" x14ac:dyDescent="0.25">
      <c r="A978" t="s">
        <v>1159</v>
      </c>
      <c r="B978" t="s">
        <v>128</v>
      </c>
    </row>
    <row r="979" spans="1:2" x14ac:dyDescent="0.25">
      <c r="A979" t="s">
        <v>1160</v>
      </c>
      <c r="B979" t="s">
        <v>128</v>
      </c>
    </row>
    <row r="980" spans="1:2" x14ac:dyDescent="0.25">
      <c r="A980" t="s">
        <v>1161</v>
      </c>
      <c r="B980" t="s">
        <v>128</v>
      </c>
    </row>
    <row r="981" spans="1:2" x14ac:dyDescent="0.25">
      <c r="A981" t="s">
        <v>1162</v>
      </c>
      <c r="B981" t="s">
        <v>128</v>
      </c>
    </row>
    <row r="982" spans="1:2" x14ac:dyDescent="0.25">
      <c r="A982" t="s">
        <v>1163</v>
      </c>
      <c r="B982" t="s">
        <v>128</v>
      </c>
    </row>
    <row r="983" spans="1:2" x14ac:dyDescent="0.25">
      <c r="A983" t="s">
        <v>1164</v>
      </c>
      <c r="B983" t="s">
        <v>128</v>
      </c>
    </row>
    <row r="984" spans="1:2" x14ac:dyDescent="0.25">
      <c r="A984" t="s">
        <v>1165</v>
      </c>
      <c r="B984" t="s">
        <v>128</v>
      </c>
    </row>
    <row r="985" spans="1:2" x14ac:dyDescent="0.25">
      <c r="A985" t="s">
        <v>1166</v>
      </c>
      <c r="B985" t="s">
        <v>128</v>
      </c>
    </row>
    <row r="986" spans="1:2" x14ac:dyDescent="0.25">
      <c r="A986" t="s">
        <v>1167</v>
      </c>
      <c r="B986" t="s">
        <v>128</v>
      </c>
    </row>
    <row r="987" spans="1:2" x14ac:dyDescent="0.25">
      <c r="A987" t="s">
        <v>1168</v>
      </c>
      <c r="B987" t="s">
        <v>128</v>
      </c>
    </row>
    <row r="988" spans="1:2" x14ac:dyDescent="0.25">
      <c r="A988" t="s">
        <v>1169</v>
      </c>
      <c r="B988" t="s">
        <v>128</v>
      </c>
    </row>
    <row r="989" spans="1:2" x14ac:dyDescent="0.25">
      <c r="A989" t="s">
        <v>1170</v>
      </c>
      <c r="B989" t="s">
        <v>128</v>
      </c>
    </row>
    <row r="990" spans="1:2" x14ac:dyDescent="0.25">
      <c r="A990" t="s">
        <v>1171</v>
      </c>
      <c r="B990" t="s">
        <v>128</v>
      </c>
    </row>
    <row r="991" spans="1:2" x14ac:dyDescent="0.25">
      <c r="A991" t="s">
        <v>1172</v>
      </c>
      <c r="B991" t="s">
        <v>128</v>
      </c>
    </row>
    <row r="992" spans="1:2" x14ac:dyDescent="0.25">
      <c r="A992" t="s">
        <v>1173</v>
      </c>
      <c r="B992" t="s">
        <v>128</v>
      </c>
    </row>
    <row r="993" spans="1:2" x14ac:dyDescent="0.25">
      <c r="A993" t="s">
        <v>1174</v>
      </c>
      <c r="B993" t="s">
        <v>128</v>
      </c>
    </row>
    <row r="994" spans="1:2" x14ac:dyDescent="0.25">
      <c r="A994" t="s">
        <v>1175</v>
      </c>
      <c r="B994" t="s">
        <v>128</v>
      </c>
    </row>
    <row r="995" spans="1:2" x14ac:dyDescent="0.25">
      <c r="A995" t="s">
        <v>1176</v>
      </c>
      <c r="B995" t="s">
        <v>128</v>
      </c>
    </row>
    <row r="996" spans="1:2" x14ac:dyDescent="0.25">
      <c r="A996" t="s">
        <v>1177</v>
      </c>
      <c r="B996" t="s">
        <v>128</v>
      </c>
    </row>
    <row r="997" spans="1:2" x14ac:dyDescent="0.25">
      <c r="A997" t="s">
        <v>1178</v>
      </c>
      <c r="B997" t="s">
        <v>128</v>
      </c>
    </row>
    <row r="998" spans="1:2" x14ac:dyDescent="0.25">
      <c r="A998" t="s">
        <v>1179</v>
      </c>
      <c r="B998" t="s">
        <v>128</v>
      </c>
    </row>
    <row r="999" spans="1:2" x14ac:dyDescent="0.25">
      <c r="A999" t="s">
        <v>1180</v>
      </c>
      <c r="B999" t="s">
        <v>128</v>
      </c>
    </row>
    <row r="1000" spans="1:2" x14ac:dyDescent="0.25">
      <c r="A1000" t="s">
        <v>1181</v>
      </c>
      <c r="B1000" t="s">
        <v>128</v>
      </c>
    </row>
    <row r="1001" spans="1:2" x14ac:dyDescent="0.25">
      <c r="A1001" t="s">
        <v>1182</v>
      </c>
      <c r="B1001" t="s">
        <v>128</v>
      </c>
    </row>
    <row r="1002" spans="1:2" x14ac:dyDescent="0.25">
      <c r="A1002" t="s">
        <v>1183</v>
      </c>
      <c r="B1002" t="s">
        <v>128</v>
      </c>
    </row>
    <row r="1003" spans="1:2" x14ac:dyDescent="0.25">
      <c r="A1003" t="s">
        <v>1184</v>
      </c>
      <c r="B1003" t="s">
        <v>128</v>
      </c>
    </row>
    <row r="1004" spans="1:2" x14ac:dyDescent="0.25">
      <c r="A1004" t="s">
        <v>1185</v>
      </c>
      <c r="B1004" t="s">
        <v>128</v>
      </c>
    </row>
    <row r="1005" spans="1:2" x14ac:dyDescent="0.25">
      <c r="A1005" t="s">
        <v>1186</v>
      </c>
      <c r="B1005" t="s">
        <v>128</v>
      </c>
    </row>
    <row r="1006" spans="1:2" x14ac:dyDescent="0.25">
      <c r="A1006" t="s">
        <v>1187</v>
      </c>
      <c r="B1006" t="s">
        <v>128</v>
      </c>
    </row>
    <row r="1007" spans="1:2" x14ac:dyDescent="0.25">
      <c r="A1007" t="s">
        <v>1188</v>
      </c>
      <c r="B1007" t="s">
        <v>128</v>
      </c>
    </row>
    <row r="1008" spans="1:2" x14ac:dyDescent="0.25">
      <c r="A1008" t="s">
        <v>1189</v>
      </c>
      <c r="B1008" t="s">
        <v>128</v>
      </c>
    </row>
    <row r="1009" spans="1:2" x14ac:dyDescent="0.25">
      <c r="A1009" t="s">
        <v>1190</v>
      </c>
      <c r="B1009" t="s">
        <v>128</v>
      </c>
    </row>
    <row r="1010" spans="1:2" x14ac:dyDescent="0.25">
      <c r="A1010" t="s">
        <v>1191</v>
      </c>
      <c r="B1010" t="s">
        <v>128</v>
      </c>
    </row>
    <row r="1011" spans="1:2" x14ac:dyDescent="0.25">
      <c r="A1011" t="s">
        <v>1192</v>
      </c>
      <c r="B1011" t="s">
        <v>128</v>
      </c>
    </row>
    <row r="1012" spans="1:2" x14ac:dyDescent="0.25">
      <c r="A1012" t="s">
        <v>1193</v>
      </c>
      <c r="B1012" t="s">
        <v>128</v>
      </c>
    </row>
    <row r="1013" spans="1:2" x14ac:dyDescent="0.25">
      <c r="A1013" t="s">
        <v>1194</v>
      </c>
      <c r="B1013" t="s">
        <v>128</v>
      </c>
    </row>
    <row r="1014" spans="1:2" x14ac:dyDescent="0.25">
      <c r="A1014" t="s">
        <v>1195</v>
      </c>
      <c r="B1014" t="s">
        <v>128</v>
      </c>
    </row>
    <row r="1015" spans="1:2" x14ac:dyDescent="0.25">
      <c r="A1015" t="s">
        <v>1196</v>
      </c>
      <c r="B1015" t="s">
        <v>128</v>
      </c>
    </row>
    <row r="1016" spans="1:2" x14ac:dyDescent="0.25">
      <c r="A1016" t="s">
        <v>172</v>
      </c>
      <c r="B1016" t="s">
        <v>128</v>
      </c>
    </row>
    <row r="1017" spans="1:2" x14ac:dyDescent="0.25">
      <c r="A1017" t="s">
        <v>1197</v>
      </c>
      <c r="B1017" t="s">
        <v>128</v>
      </c>
    </row>
    <row r="1018" spans="1:2" x14ac:dyDescent="0.25">
      <c r="A1018" t="s">
        <v>205</v>
      </c>
      <c r="B1018" t="s">
        <v>128</v>
      </c>
    </row>
    <row r="1019" spans="1:2" x14ac:dyDescent="0.25">
      <c r="A1019" t="s">
        <v>1198</v>
      </c>
      <c r="B1019" t="s">
        <v>128</v>
      </c>
    </row>
    <row r="1020" spans="1:2" x14ac:dyDescent="0.25">
      <c r="A1020" t="s">
        <v>1199</v>
      </c>
      <c r="B1020" t="s">
        <v>128</v>
      </c>
    </row>
    <row r="1021" spans="1:2" x14ac:dyDescent="0.25">
      <c r="A1021" t="s">
        <v>1200</v>
      </c>
      <c r="B1021" t="s">
        <v>128</v>
      </c>
    </row>
    <row r="1022" spans="1:2" x14ac:dyDescent="0.25">
      <c r="A1022" t="s">
        <v>1201</v>
      </c>
      <c r="B1022" t="s">
        <v>128</v>
      </c>
    </row>
    <row r="1023" spans="1:2" x14ac:dyDescent="0.25">
      <c r="A1023" t="s">
        <v>1202</v>
      </c>
      <c r="B1023" t="s">
        <v>128</v>
      </c>
    </row>
    <row r="1024" spans="1:2" x14ac:dyDescent="0.25">
      <c r="A1024" t="s">
        <v>1203</v>
      </c>
      <c r="B1024" t="s">
        <v>128</v>
      </c>
    </row>
    <row r="1025" spans="1:2" x14ac:dyDescent="0.25">
      <c r="A1025" t="s">
        <v>1204</v>
      </c>
      <c r="B1025" t="s">
        <v>128</v>
      </c>
    </row>
    <row r="1026" spans="1:2" x14ac:dyDescent="0.25">
      <c r="A1026" t="s">
        <v>1205</v>
      </c>
      <c r="B1026" t="s">
        <v>128</v>
      </c>
    </row>
    <row r="1027" spans="1:2" x14ac:dyDescent="0.25">
      <c r="A1027" t="s">
        <v>1206</v>
      </c>
      <c r="B1027" t="s">
        <v>128</v>
      </c>
    </row>
    <row r="1028" spans="1:2" x14ac:dyDescent="0.25">
      <c r="A1028" t="s">
        <v>1207</v>
      </c>
      <c r="B1028" t="s">
        <v>128</v>
      </c>
    </row>
    <row r="1029" spans="1:2" x14ac:dyDescent="0.25">
      <c r="A1029" t="s">
        <v>1208</v>
      </c>
      <c r="B1029" t="s">
        <v>128</v>
      </c>
    </row>
    <row r="1030" spans="1:2" x14ac:dyDescent="0.25">
      <c r="A1030" t="s">
        <v>1209</v>
      </c>
      <c r="B1030" t="s">
        <v>128</v>
      </c>
    </row>
    <row r="1031" spans="1:2" x14ac:dyDescent="0.25">
      <c r="A1031" t="s">
        <v>1210</v>
      </c>
      <c r="B1031" t="s">
        <v>128</v>
      </c>
    </row>
    <row r="1032" spans="1:2" x14ac:dyDescent="0.25">
      <c r="A1032" t="s">
        <v>1211</v>
      </c>
      <c r="B1032" t="s">
        <v>128</v>
      </c>
    </row>
    <row r="1033" spans="1:2" x14ac:dyDescent="0.25">
      <c r="A1033" t="s">
        <v>1212</v>
      </c>
      <c r="B1033" t="s">
        <v>128</v>
      </c>
    </row>
    <row r="1034" spans="1:2" x14ac:dyDescent="0.25">
      <c r="A1034" t="s">
        <v>1213</v>
      </c>
      <c r="B1034" t="s">
        <v>128</v>
      </c>
    </row>
    <row r="1035" spans="1:2" x14ac:dyDescent="0.25">
      <c r="A1035" t="s">
        <v>1214</v>
      </c>
      <c r="B1035" t="s">
        <v>128</v>
      </c>
    </row>
    <row r="1036" spans="1:2" x14ac:dyDescent="0.25">
      <c r="A1036" t="s">
        <v>1215</v>
      </c>
      <c r="B1036" t="s">
        <v>128</v>
      </c>
    </row>
    <row r="1037" spans="1:2" x14ac:dyDescent="0.25">
      <c r="A1037" t="s">
        <v>1216</v>
      </c>
      <c r="B1037" t="s">
        <v>128</v>
      </c>
    </row>
    <row r="1038" spans="1:2" x14ac:dyDescent="0.25">
      <c r="A1038" t="s">
        <v>1217</v>
      </c>
      <c r="B1038" t="s">
        <v>128</v>
      </c>
    </row>
    <row r="1039" spans="1:2" x14ac:dyDescent="0.25">
      <c r="A1039" t="s">
        <v>1218</v>
      </c>
      <c r="B1039" t="s">
        <v>128</v>
      </c>
    </row>
    <row r="1040" spans="1:2" x14ac:dyDescent="0.25">
      <c r="A1040" t="s">
        <v>1219</v>
      </c>
      <c r="B1040" t="s">
        <v>128</v>
      </c>
    </row>
    <row r="1041" spans="1:2" x14ac:dyDescent="0.25">
      <c r="A1041" t="s">
        <v>1220</v>
      </c>
      <c r="B1041" t="s">
        <v>128</v>
      </c>
    </row>
    <row r="1042" spans="1:2" x14ac:dyDescent="0.25">
      <c r="A1042" t="s">
        <v>1221</v>
      </c>
      <c r="B1042" t="s">
        <v>128</v>
      </c>
    </row>
    <row r="1043" spans="1:2" x14ac:dyDescent="0.25">
      <c r="A1043" t="s">
        <v>1222</v>
      </c>
      <c r="B1043" t="s">
        <v>128</v>
      </c>
    </row>
    <row r="1044" spans="1:2" x14ac:dyDescent="0.25">
      <c r="A1044" t="s">
        <v>1223</v>
      </c>
      <c r="B1044" t="s">
        <v>128</v>
      </c>
    </row>
    <row r="1045" spans="1:2" x14ac:dyDescent="0.25">
      <c r="A1045" t="s">
        <v>1224</v>
      </c>
      <c r="B1045" t="s">
        <v>128</v>
      </c>
    </row>
    <row r="1046" spans="1:2" x14ac:dyDescent="0.25">
      <c r="A1046" t="s">
        <v>1225</v>
      </c>
      <c r="B1046" t="s">
        <v>128</v>
      </c>
    </row>
    <row r="1047" spans="1:2" x14ac:dyDescent="0.25">
      <c r="A1047" t="s">
        <v>1226</v>
      </c>
      <c r="B1047" t="s">
        <v>128</v>
      </c>
    </row>
    <row r="1048" spans="1:2" x14ac:dyDescent="0.25">
      <c r="A1048" t="s">
        <v>1227</v>
      </c>
      <c r="B1048" t="s">
        <v>128</v>
      </c>
    </row>
    <row r="1049" spans="1:2" x14ac:dyDescent="0.25">
      <c r="A1049" t="s">
        <v>1228</v>
      </c>
      <c r="B1049" t="s">
        <v>128</v>
      </c>
    </row>
    <row r="1050" spans="1:2" x14ac:dyDescent="0.25">
      <c r="A1050" t="s">
        <v>1229</v>
      </c>
      <c r="B1050" t="s">
        <v>128</v>
      </c>
    </row>
    <row r="1051" spans="1:2" x14ac:dyDescent="0.25">
      <c r="A1051" t="s">
        <v>1230</v>
      </c>
      <c r="B1051" t="s">
        <v>128</v>
      </c>
    </row>
    <row r="1052" spans="1:2" x14ac:dyDescent="0.25">
      <c r="A1052" t="s">
        <v>1231</v>
      </c>
      <c r="B1052" t="s">
        <v>128</v>
      </c>
    </row>
    <row r="1053" spans="1:2" x14ac:dyDescent="0.25">
      <c r="A1053" t="s">
        <v>1232</v>
      </c>
      <c r="B1053" t="s">
        <v>128</v>
      </c>
    </row>
    <row r="1054" spans="1:2" x14ac:dyDescent="0.25">
      <c r="A1054" t="s">
        <v>1233</v>
      </c>
      <c r="B1054" t="s">
        <v>128</v>
      </c>
    </row>
    <row r="1055" spans="1:2" x14ac:dyDescent="0.25">
      <c r="A1055" t="s">
        <v>1234</v>
      </c>
      <c r="B1055" t="s">
        <v>128</v>
      </c>
    </row>
    <row r="1056" spans="1:2" x14ac:dyDescent="0.25">
      <c r="A1056" t="s">
        <v>1235</v>
      </c>
      <c r="B1056" t="s">
        <v>128</v>
      </c>
    </row>
    <row r="1057" spans="1:2" x14ac:dyDescent="0.25">
      <c r="A1057" t="s">
        <v>1236</v>
      </c>
      <c r="B1057" t="s">
        <v>128</v>
      </c>
    </row>
    <row r="1058" spans="1:2" x14ac:dyDescent="0.25">
      <c r="A1058" t="s">
        <v>1237</v>
      </c>
      <c r="B1058" t="s">
        <v>128</v>
      </c>
    </row>
    <row r="1059" spans="1:2" x14ac:dyDescent="0.25">
      <c r="A1059" t="s">
        <v>1238</v>
      </c>
      <c r="B1059" t="s">
        <v>128</v>
      </c>
    </row>
    <row r="1060" spans="1:2" x14ac:dyDescent="0.25">
      <c r="A1060" t="s">
        <v>1239</v>
      </c>
      <c r="B1060" t="s">
        <v>128</v>
      </c>
    </row>
    <row r="1061" spans="1:2" x14ac:dyDescent="0.25">
      <c r="A1061" t="s">
        <v>1240</v>
      </c>
      <c r="B1061" t="s">
        <v>128</v>
      </c>
    </row>
    <row r="1062" spans="1:2" x14ac:dyDescent="0.25">
      <c r="A1062" t="s">
        <v>1241</v>
      </c>
      <c r="B1062" t="s">
        <v>128</v>
      </c>
    </row>
    <row r="1063" spans="1:2" x14ac:dyDescent="0.25">
      <c r="A1063" t="s">
        <v>1242</v>
      </c>
      <c r="B1063" t="s">
        <v>128</v>
      </c>
    </row>
    <row r="1064" spans="1:2" x14ac:dyDescent="0.25">
      <c r="A1064" t="s">
        <v>1243</v>
      </c>
      <c r="B1064" t="s">
        <v>128</v>
      </c>
    </row>
    <row r="1065" spans="1:2" x14ac:dyDescent="0.25">
      <c r="A1065" t="s">
        <v>1244</v>
      </c>
      <c r="B1065" t="s">
        <v>128</v>
      </c>
    </row>
    <row r="1066" spans="1:2" x14ac:dyDescent="0.25">
      <c r="A1066" t="s">
        <v>1245</v>
      </c>
      <c r="B1066" t="s">
        <v>128</v>
      </c>
    </row>
    <row r="1067" spans="1:2" x14ac:dyDescent="0.25">
      <c r="A1067" t="s">
        <v>1246</v>
      </c>
      <c r="B1067" t="s">
        <v>128</v>
      </c>
    </row>
    <row r="1068" spans="1:2" x14ac:dyDescent="0.25">
      <c r="A1068" t="s">
        <v>1247</v>
      </c>
      <c r="B1068" t="s">
        <v>128</v>
      </c>
    </row>
    <row r="1069" spans="1:2" x14ac:dyDescent="0.25">
      <c r="A1069" t="s">
        <v>1248</v>
      </c>
      <c r="B1069" t="s">
        <v>128</v>
      </c>
    </row>
    <row r="1070" spans="1:2" x14ac:dyDescent="0.25">
      <c r="A1070" t="s">
        <v>1249</v>
      </c>
      <c r="B1070" t="s">
        <v>128</v>
      </c>
    </row>
    <row r="1071" spans="1:2" x14ac:dyDescent="0.25">
      <c r="A1071" t="s">
        <v>1250</v>
      </c>
      <c r="B1071" t="s">
        <v>128</v>
      </c>
    </row>
    <row r="1072" spans="1:2" x14ac:dyDescent="0.25">
      <c r="A1072" t="s">
        <v>1251</v>
      </c>
      <c r="B1072" t="s">
        <v>128</v>
      </c>
    </row>
    <row r="1073" spans="1:2" x14ac:dyDescent="0.25">
      <c r="A1073" t="s">
        <v>1252</v>
      </c>
      <c r="B1073" t="s">
        <v>128</v>
      </c>
    </row>
    <row r="1074" spans="1:2" x14ac:dyDescent="0.25">
      <c r="A1074" t="s">
        <v>1253</v>
      </c>
      <c r="B1074" t="s">
        <v>128</v>
      </c>
    </row>
    <row r="1075" spans="1:2" x14ac:dyDescent="0.25">
      <c r="A1075" t="s">
        <v>1254</v>
      </c>
      <c r="B1075" t="s">
        <v>128</v>
      </c>
    </row>
    <row r="1076" spans="1:2" x14ac:dyDescent="0.25">
      <c r="A1076" t="s">
        <v>1255</v>
      </c>
      <c r="B1076" t="s">
        <v>128</v>
      </c>
    </row>
    <row r="1077" spans="1:2" x14ac:dyDescent="0.25">
      <c r="A1077" t="s">
        <v>1256</v>
      </c>
      <c r="B1077" t="s">
        <v>128</v>
      </c>
    </row>
    <row r="1078" spans="1:2" x14ac:dyDescent="0.25">
      <c r="A1078" t="s">
        <v>1257</v>
      </c>
      <c r="B1078" t="s">
        <v>128</v>
      </c>
    </row>
    <row r="1079" spans="1:2" x14ac:dyDescent="0.25">
      <c r="A1079" t="s">
        <v>1258</v>
      </c>
      <c r="B1079" t="s">
        <v>128</v>
      </c>
    </row>
    <row r="1080" spans="1:2" x14ac:dyDescent="0.25">
      <c r="A1080" t="s">
        <v>1259</v>
      </c>
      <c r="B1080" t="s">
        <v>128</v>
      </c>
    </row>
    <row r="1081" spans="1:2" x14ac:dyDescent="0.25">
      <c r="A1081" t="s">
        <v>1260</v>
      </c>
      <c r="B1081" t="s">
        <v>128</v>
      </c>
    </row>
    <row r="1082" spans="1:2" x14ac:dyDescent="0.25">
      <c r="A1082" t="s">
        <v>1261</v>
      </c>
      <c r="B1082" t="s">
        <v>128</v>
      </c>
    </row>
    <row r="1083" spans="1:2" x14ac:dyDescent="0.25">
      <c r="A1083" t="s">
        <v>1262</v>
      </c>
      <c r="B1083" t="s">
        <v>128</v>
      </c>
    </row>
    <row r="1084" spans="1:2" x14ac:dyDescent="0.25">
      <c r="A1084" t="s">
        <v>1263</v>
      </c>
      <c r="B1084" t="s">
        <v>128</v>
      </c>
    </row>
    <row r="1085" spans="1:2" x14ac:dyDescent="0.25">
      <c r="A1085" t="s">
        <v>1264</v>
      </c>
      <c r="B1085" t="s">
        <v>128</v>
      </c>
    </row>
    <row r="1086" spans="1:2" x14ac:dyDescent="0.25">
      <c r="A1086" t="s">
        <v>1265</v>
      </c>
      <c r="B1086" t="s">
        <v>128</v>
      </c>
    </row>
    <row r="1087" spans="1:2" x14ac:dyDescent="0.25">
      <c r="A1087" t="s">
        <v>1266</v>
      </c>
      <c r="B1087" t="s">
        <v>128</v>
      </c>
    </row>
    <row r="1088" spans="1:2" x14ac:dyDescent="0.25">
      <c r="A1088" t="s">
        <v>1267</v>
      </c>
      <c r="B1088" t="s">
        <v>128</v>
      </c>
    </row>
    <row r="1089" spans="1:2" x14ac:dyDescent="0.25">
      <c r="A1089" t="s">
        <v>1268</v>
      </c>
      <c r="B1089" t="s">
        <v>128</v>
      </c>
    </row>
    <row r="1090" spans="1:2" x14ac:dyDescent="0.25">
      <c r="A1090" t="s">
        <v>1269</v>
      </c>
      <c r="B1090" t="s">
        <v>128</v>
      </c>
    </row>
    <row r="1091" spans="1:2" x14ac:dyDescent="0.25">
      <c r="A1091" t="s">
        <v>1270</v>
      </c>
      <c r="B1091" t="s">
        <v>128</v>
      </c>
    </row>
    <row r="1092" spans="1:2" x14ac:dyDescent="0.25">
      <c r="A1092" t="s">
        <v>1271</v>
      </c>
      <c r="B1092" t="s">
        <v>128</v>
      </c>
    </row>
    <row r="1093" spans="1:2" x14ac:dyDescent="0.25">
      <c r="A1093" t="s">
        <v>1272</v>
      </c>
      <c r="B1093" t="s">
        <v>128</v>
      </c>
    </row>
    <row r="1094" spans="1:2" x14ac:dyDescent="0.25">
      <c r="A1094" t="s">
        <v>1273</v>
      </c>
      <c r="B1094" t="s">
        <v>128</v>
      </c>
    </row>
    <row r="1095" spans="1:2" x14ac:dyDescent="0.25">
      <c r="A1095" t="s">
        <v>1274</v>
      </c>
      <c r="B1095" t="s">
        <v>128</v>
      </c>
    </row>
    <row r="1096" spans="1:2" x14ac:dyDescent="0.25">
      <c r="A1096" t="s">
        <v>1275</v>
      </c>
      <c r="B1096" t="s">
        <v>128</v>
      </c>
    </row>
    <row r="1097" spans="1:2" x14ac:dyDescent="0.25">
      <c r="A1097" t="s">
        <v>1276</v>
      </c>
      <c r="B1097" t="s">
        <v>128</v>
      </c>
    </row>
    <row r="1098" spans="1:2" x14ac:dyDescent="0.25">
      <c r="A1098" t="s">
        <v>1277</v>
      </c>
      <c r="B1098" t="s">
        <v>128</v>
      </c>
    </row>
    <row r="1099" spans="1:2" x14ac:dyDescent="0.25">
      <c r="A1099" t="s">
        <v>1278</v>
      </c>
      <c r="B1099" t="s">
        <v>128</v>
      </c>
    </row>
    <row r="1100" spans="1:2" x14ac:dyDescent="0.25">
      <c r="A1100" t="s">
        <v>1279</v>
      </c>
      <c r="B1100" t="s">
        <v>128</v>
      </c>
    </row>
    <row r="1101" spans="1:2" x14ac:dyDescent="0.25">
      <c r="A1101" t="s">
        <v>1280</v>
      </c>
      <c r="B1101" t="s">
        <v>128</v>
      </c>
    </row>
    <row r="1102" spans="1:2" x14ac:dyDescent="0.25">
      <c r="A1102" t="s">
        <v>1281</v>
      </c>
      <c r="B1102" t="s">
        <v>128</v>
      </c>
    </row>
    <row r="1103" spans="1:2" x14ac:dyDescent="0.25">
      <c r="A1103" t="s">
        <v>1282</v>
      </c>
      <c r="B1103" t="s">
        <v>128</v>
      </c>
    </row>
    <row r="1104" spans="1:2" x14ac:dyDescent="0.25">
      <c r="A1104" t="s">
        <v>1283</v>
      </c>
      <c r="B1104" t="s">
        <v>128</v>
      </c>
    </row>
    <row r="1105" spans="1:2" x14ac:dyDescent="0.25">
      <c r="A1105" t="s">
        <v>1284</v>
      </c>
      <c r="B1105" t="s">
        <v>128</v>
      </c>
    </row>
    <row r="1106" spans="1:2" x14ac:dyDescent="0.25">
      <c r="A1106" t="s">
        <v>1285</v>
      </c>
      <c r="B1106" t="s">
        <v>128</v>
      </c>
    </row>
    <row r="1107" spans="1:2" x14ac:dyDescent="0.25">
      <c r="A1107" t="s">
        <v>1286</v>
      </c>
      <c r="B1107" t="s">
        <v>128</v>
      </c>
    </row>
    <row r="1108" spans="1:2" x14ac:dyDescent="0.25">
      <c r="A1108" t="s">
        <v>1287</v>
      </c>
      <c r="B1108" t="s">
        <v>128</v>
      </c>
    </row>
    <row r="1109" spans="1:2" x14ac:dyDescent="0.25">
      <c r="A1109" t="s">
        <v>1288</v>
      </c>
      <c r="B1109" t="s">
        <v>128</v>
      </c>
    </row>
    <row r="1110" spans="1:2" x14ac:dyDescent="0.25">
      <c r="A1110" t="s">
        <v>1289</v>
      </c>
      <c r="B1110" t="s">
        <v>128</v>
      </c>
    </row>
    <row r="1111" spans="1:2" x14ac:dyDescent="0.25">
      <c r="A1111" t="s">
        <v>1290</v>
      </c>
      <c r="B1111" t="s">
        <v>128</v>
      </c>
    </row>
    <row r="1112" spans="1:2" x14ac:dyDescent="0.25">
      <c r="A1112" t="s">
        <v>1291</v>
      </c>
      <c r="B1112" t="s">
        <v>128</v>
      </c>
    </row>
    <row r="1113" spans="1:2" x14ac:dyDescent="0.25">
      <c r="A1113" t="s">
        <v>158</v>
      </c>
      <c r="B1113" t="s">
        <v>128</v>
      </c>
    </row>
    <row r="1114" spans="1:2" x14ac:dyDescent="0.25">
      <c r="A1114" t="s">
        <v>157</v>
      </c>
      <c r="B1114" t="s">
        <v>128</v>
      </c>
    </row>
    <row r="1115" spans="1:2" x14ac:dyDescent="0.25">
      <c r="A1115" t="s">
        <v>1292</v>
      </c>
      <c r="B1115" t="s">
        <v>128</v>
      </c>
    </row>
    <row r="1116" spans="1:2" x14ac:dyDescent="0.25">
      <c r="A1116" t="s">
        <v>1293</v>
      </c>
      <c r="B1116" t="s">
        <v>125</v>
      </c>
    </row>
    <row r="1117" spans="1:2" x14ac:dyDescent="0.25">
      <c r="A1117" t="s">
        <v>1294</v>
      </c>
      <c r="B1117" t="s">
        <v>125</v>
      </c>
    </row>
    <row r="1118" spans="1:2" x14ac:dyDescent="0.25">
      <c r="A1118" t="s">
        <v>1295</v>
      </c>
      <c r="B1118" t="s">
        <v>125</v>
      </c>
    </row>
    <row r="1119" spans="1:2" x14ac:dyDescent="0.25">
      <c r="A1119" t="s">
        <v>194</v>
      </c>
      <c r="B1119" t="s">
        <v>125</v>
      </c>
    </row>
    <row r="1120" spans="1:2" x14ac:dyDescent="0.25">
      <c r="A1120" t="s">
        <v>1296</v>
      </c>
      <c r="B1120" t="s">
        <v>125</v>
      </c>
    </row>
    <row r="1121" spans="1:2" x14ac:dyDescent="0.25">
      <c r="A1121" t="s">
        <v>1297</v>
      </c>
      <c r="B1121" t="s">
        <v>125</v>
      </c>
    </row>
    <row r="1122" spans="1:2" x14ac:dyDescent="0.25">
      <c r="A1122" t="s">
        <v>1298</v>
      </c>
      <c r="B1122" t="s">
        <v>125</v>
      </c>
    </row>
    <row r="1123" spans="1:2" x14ac:dyDescent="0.25">
      <c r="A1123" t="s">
        <v>1299</v>
      </c>
      <c r="B1123" t="s">
        <v>125</v>
      </c>
    </row>
    <row r="1124" spans="1:2" x14ac:dyDescent="0.25">
      <c r="A1124" t="s">
        <v>1300</v>
      </c>
      <c r="B1124" t="s">
        <v>125</v>
      </c>
    </row>
    <row r="1125" spans="1:2" x14ac:dyDescent="0.25">
      <c r="A1125" t="s">
        <v>508</v>
      </c>
      <c r="B1125" t="s">
        <v>125</v>
      </c>
    </row>
    <row r="1126" spans="1:2" x14ac:dyDescent="0.25">
      <c r="A1126" t="s">
        <v>509</v>
      </c>
      <c r="B1126" t="s">
        <v>125</v>
      </c>
    </row>
    <row r="1127" spans="1:2" x14ac:dyDescent="0.25">
      <c r="A1127" t="s">
        <v>510</v>
      </c>
      <c r="B1127" t="s">
        <v>125</v>
      </c>
    </row>
    <row r="1128" spans="1:2" x14ac:dyDescent="0.25">
      <c r="A1128" t="s">
        <v>189</v>
      </c>
      <c r="B1128" t="s">
        <v>125</v>
      </c>
    </row>
    <row r="1129" spans="1:2" x14ac:dyDescent="0.25">
      <c r="A1129" t="s">
        <v>513</v>
      </c>
      <c r="B1129" t="s">
        <v>125</v>
      </c>
    </row>
    <row r="1130" spans="1:2" x14ac:dyDescent="0.25">
      <c r="A1130" t="s">
        <v>514</v>
      </c>
      <c r="B1130" t="s">
        <v>125</v>
      </c>
    </row>
    <row r="1131" spans="1:2" x14ac:dyDescent="0.25">
      <c r="A1131" t="s">
        <v>1301</v>
      </c>
      <c r="B1131" t="s">
        <v>125</v>
      </c>
    </row>
    <row r="1132" spans="1:2" x14ac:dyDescent="0.25">
      <c r="A1132" t="s">
        <v>517</v>
      </c>
      <c r="B1132" t="s">
        <v>125</v>
      </c>
    </row>
    <row r="1133" spans="1:2" x14ac:dyDescent="0.25">
      <c r="A1133" t="s">
        <v>192</v>
      </c>
      <c r="B1133" t="s">
        <v>125</v>
      </c>
    </row>
    <row r="1134" spans="1:2" x14ac:dyDescent="0.25">
      <c r="A1134" t="s">
        <v>185</v>
      </c>
      <c r="B1134" t="s">
        <v>125</v>
      </c>
    </row>
    <row r="1135" spans="1:2" x14ac:dyDescent="0.25">
      <c r="A1135" t="s">
        <v>1302</v>
      </c>
      <c r="B1135" t="s">
        <v>125</v>
      </c>
    </row>
    <row r="1136" spans="1:2" x14ac:dyDescent="0.25">
      <c r="A1136" t="s">
        <v>195</v>
      </c>
      <c r="B1136" t="s">
        <v>125</v>
      </c>
    </row>
    <row r="1137" spans="1:2" x14ac:dyDescent="0.25">
      <c r="A1137" t="s">
        <v>1303</v>
      </c>
      <c r="B1137" t="s">
        <v>125</v>
      </c>
    </row>
    <row r="1138" spans="1:2" x14ac:dyDescent="0.25">
      <c r="A1138" t="s">
        <v>1304</v>
      </c>
      <c r="B1138" t="s">
        <v>125</v>
      </c>
    </row>
    <row r="1139" spans="1:2" x14ac:dyDescent="0.25">
      <c r="A1139" t="s">
        <v>1305</v>
      </c>
      <c r="B1139" t="s">
        <v>125</v>
      </c>
    </row>
    <row r="1140" spans="1:2" x14ac:dyDescent="0.25">
      <c r="A1140" t="s">
        <v>1306</v>
      </c>
      <c r="B1140" t="s">
        <v>125</v>
      </c>
    </row>
    <row r="1141" spans="1:2" x14ac:dyDescent="0.25">
      <c r="A1141" t="s">
        <v>1307</v>
      </c>
      <c r="B1141" t="s">
        <v>125</v>
      </c>
    </row>
    <row r="1142" spans="1:2" x14ac:dyDescent="0.25">
      <c r="A1142" t="s">
        <v>1308</v>
      </c>
      <c r="B1142" t="s">
        <v>125</v>
      </c>
    </row>
    <row r="1143" spans="1:2" x14ac:dyDescent="0.25">
      <c r="A1143" t="s">
        <v>1309</v>
      </c>
      <c r="B1143" t="s">
        <v>125</v>
      </c>
    </row>
    <row r="1144" spans="1:2" x14ac:dyDescent="0.25">
      <c r="A1144" t="s">
        <v>1310</v>
      </c>
      <c r="B1144" t="s">
        <v>125</v>
      </c>
    </row>
    <row r="1145" spans="1:2" x14ac:dyDescent="0.25">
      <c r="A1145" t="s">
        <v>1311</v>
      </c>
      <c r="B1145" t="s">
        <v>125</v>
      </c>
    </row>
    <row r="1146" spans="1:2" x14ac:dyDescent="0.25">
      <c r="A1146" t="s">
        <v>1312</v>
      </c>
      <c r="B1146" t="s">
        <v>125</v>
      </c>
    </row>
    <row r="1147" spans="1:2" x14ac:dyDescent="0.25">
      <c r="A1147" t="s">
        <v>1313</v>
      </c>
      <c r="B1147" t="s">
        <v>125</v>
      </c>
    </row>
    <row r="1148" spans="1:2" x14ac:dyDescent="0.25">
      <c r="A1148" t="s">
        <v>1314</v>
      </c>
      <c r="B1148" t="s">
        <v>125</v>
      </c>
    </row>
    <row r="1149" spans="1:2" x14ac:dyDescent="0.25">
      <c r="A1149" t="s">
        <v>371</v>
      </c>
      <c r="B1149" t="s">
        <v>125</v>
      </c>
    </row>
    <row r="1150" spans="1:2" x14ac:dyDescent="0.25">
      <c r="A1150" t="s">
        <v>372</v>
      </c>
      <c r="B1150" t="s">
        <v>125</v>
      </c>
    </row>
    <row r="1151" spans="1:2" x14ac:dyDescent="0.25">
      <c r="A1151" t="s">
        <v>373</v>
      </c>
      <c r="B1151" t="s">
        <v>125</v>
      </c>
    </row>
    <row r="1152" spans="1:2" x14ac:dyDescent="0.25">
      <c r="A1152" t="s">
        <v>1315</v>
      </c>
      <c r="B1152" t="s">
        <v>125</v>
      </c>
    </row>
    <row r="1153" spans="1:2" x14ac:dyDescent="0.25">
      <c r="A1153" t="s">
        <v>1316</v>
      </c>
      <c r="B1153" t="s">
        <v>125</v>
      </c>
    </row>
    <row r="1154" spans="1:2" x14ac:dyDescent="0.25">
      <c r="A1154" t="s">
        <v>1317</v>
      </c>
      <c r="B1154" t="s">
        <v>125</v>
      </c>
    </row>
    <row r="1155" spans="1:2" x14ac:dyDescent="0.25">
      <c r="A1155" t="s">
        <v>1318</v>
      </c>
      <c r="B1155" t="s">
        <v>125</v>
      </c>
    </row>
    <row r="1156" spans="1:2" x14ac:dyDescent="0.25">
      <c r="A1156" t="s">
        <v>1319</v>
      </c>
      <c r="B1156" t="s">
        <v>125</v>
      </c>
    </row>
    <row r="1157" spans="1:2" x14ac:dyDescent="0.25">
      <c r="A1157" t="s">
        <v>197</v>
      </c>
      <c r="B1157" t="s">
        <v>125</v>
      </c>
    </row>
    <row r="1158" spans="1:2" x14ac:dyDescent="0.25">
      <c r="A1158" t="s">
        <v>381</v>
      </c>
      <c r="B1158" t="s">
        <v>125</v>
      </c>
    </row>
    <row r="1159" spans="1:2" x14ac:dyDescent="0.25">
      <c r="A1159" t="s">
        <v>382</v>
      </c>
      <c r="B1159" t="s">
        <v>125</v>
      </c>
    </row>
    <row r="1160" spans="1:2" x14ac:dyDescent="0.25">
      <c r="A1160" t="s">
        <v>1320</v>
      </c>
      <c r="B1160" t="s">
        <v>125</v>
      </c>
    </row>
    <row r="1161" spans="1:2" x14ac:dyDescent="0.25">
      <c r="A1161" t="s">
        <v>1321</v>
      </c>
      <c r="B1161" t="s">
        <v>125</v>
      </c>
    </row>
    <row r="1162" spans="1:2" x14ac:dyDescent="0.25">
      <c r="A1162" t="s">
        <v>1322</v>
      </c>
      <c r="B1162" t="s">
        <v>125</v>
      </c>
    </row>
    <row r="1163" spans="1:2" x14ac:dyDescent="0.25">
      <c r="A1163" t="s">
        <v>1323</v>
      </c>
      <c r="B1163" t="s">
        <v>125</v>
      </c>
    </row>
    <row r="1164" spans="1:2" x14ac:dyDescent="0.25">
      <c r="A1164" t="s">
        <v>1324</v>
      </c>
      <c r="B1164" t="s">
        <v>125</v>
      </c>
    </row>
    <row r="1165" spans="1:2" x14ac:dyDescent="0.25">
      <c r="A1165" t="s">
        <v>389</v>
      </c>
      <c r="B1165" t="s">
        <v>125</v>
      </c>
    </row>
    <row r="1166" spans="1:2" x14ac:dyDescent="0.25">
      <c r="A1166" t="s">
        <v>1325</v>
      </c>
      <c r="B1166" t="s">
        <v>125</v>
      </c>
    </row>
    <row r="1167" spans="1:2" x14ac:dyDescent="0.25">
      <c r="A1167" t="s">
        <v>1326</v>
      </c>
      <c r="B1167" t="s">
        <v>125</v>
      </c>
    </row>
    <row r="1168" spans="1:2" x14ac:dyDescent="0.25">
      <c r="A1168" t="s">
        <v>1327</v>
      </c>
      <c r="B1168" t="s">
        <v>125</v>
      </c>
    </row>
    <row r="1169" spans="1:2" x14ac:dyDescent="0.25">
      <c r="A1169" t="s">
        <v>199</v>
      </c>
      <c r="B1169" t="s">
        <v>125</v>
      </c>
    </row>
    <row r="1170" spans="1:2" x14ac:dyDescent="0.25">
      <c r="A1170" t="s">
        <v>1328</v>
      </c>
      <c r="B1170" t="s">
        <v>125</v>
      </c>
    </row>
    <row r="1171" spans="1:2" x14ac:dyDescent="0.25">
      <c r="A1171" t="s">
        <v>1329</v>
      </c>
      <c r="B1171" t="s">
        <v>125</v>
      </c>
    </row>
    <row r="1172" spans="1:2" x14ac:dyDescent="0.25">
      <c r="A1172" t="s">
        <v>1330</v>
      </c>
      <c r="B1172" t="s">
        <v>125</v>
      </c>
    </row>
    <row r="1173" spans="1:2" x14ac:dyDescent="0.25">
      <c r="A1173" t="s">
        <v>1331</v>
      </c>
      <c r="B1173" t="s">
        <v>125</v>
      </c>
    </row>
    <row r="1174" spans="1:2" x14ac:dyDescent="0.25">
      <c r="A1174" t="s">
        <v>196</v>
      </c>
      <c r="B1174" t="s">
        <v>125</v>
      </c>
    </row>
    <row r="1175" spans="1:2" x14ac:dyDescent="0.25">
      <c r="A1175" t="s">
        <v>1332</v>
      </c>
      <c r="B1175" t="s">
        <v>125</v>
      </c>
    </row>
    <row r="1176" spans="1:2" x14ac:dyDescent="0.25">
      <c r="A1176" t="s">
        <v>1333</v>
      </c>
      <c r="B1176" t="s">
        <v>125</v>
      </c>
    </row>
    <row r="1177" spans="1:2" x14ac:dyDescent="0.25">
      <c r="A1177" t="s">
        <v>1334</v>
      </c>
      <c r="B1177" t="s">
        <v>125</v>
      </c>
    </row>
    <row r="1178" spans="1:2" x14ac:dyDescent="0.25">
      <c r="A1178" t="s">
        <v>1335</v>
      </c>
      <c r="B1178" t="s">
        <v>125</v>
      </c>
    </row>
    <row r="1179" spans="1:2" x14ac:dyDescent="0.25">
      <c r="A1179" t="s">
        <v>1336</v>
      </c>
      <c r="B1179" t="s">
        <v>125</v>
      </c>
    </row>
    <row r="1180" spans="1:2" x14ac:dyDescent="0.25">
      <c r="A1180" t="s">
        <v>408</v>
      </c>
      <c r="B1180" t="s">
        <v>125</v>
      </c>
    </row>
    <row r="1181" spans="1:2" x14ac:dyDescent="0.25">
      <c r="A1181" t="s">
        <v>409</v>
      </c>
      <c r="B1181" t="s">
        <v>125</v>
      </c>
    </row>
    <row r="1182" spans="1:2" x14ac:dyDescent="0.25">
      <c r="A1182" t="s">
        <v>410</v>
      </c>
      <c r="B1182" t="s">
        <v>125</v>
      </c>
    </row>
    <row r="1183" spans="1:2" x14ac:dyDescent="0.25">
      <c r="A1183" t="s">
        <v>198</v>
      </c>
      <c r="B1183" t="s">
        <v>125</v>
      </c>
    </row>
    <row r="1184" spans="1:2" x14ac:dyDescent="0.25">
      <c r="A1184" t="s">
        <v>413</v>
      </c>
      <c r="B1184" t="s">
        <v>125</v>
      </c>
    </row>
    <row r="1185" spans="1:2" x14ac:dyDescent="0.25">
      <c r="A1185" t="s">
        <v>414</v>
      </c>
      <c r="B1185" t="s">
        <v>125</v>
      </c>
    </row>
    <row r="1186" spans="1:2" x14ac:dyDescent="0.25">
      <c r="A1186" t="s">
        <v>1337</v>
      </c>
      <c r="B1186" t="s">
        <v>125</v>
      </c>
    </row>
    <row r="1187" spans="1:2" x14ac:dyDescent="0.25">
      <c r="A1187" t="s">
        <v>417</v>
      </c>
      <c r="B1187" t="s">
        <v>125</v>
      </c>
    </row>
    <row r="1188" spans="1:2" x14ac:dyDescent="0.25">
      <c r="A1188" t="s">
        <v>200</v>
      </c>
      <c r="B1188" t="s">
        <v>125</v>
      </c>
    </row>
    <row r="1189" spans="1:2" x14ac:dyDescent="0.25">
      <c r="A1189" t="s">
        <v>163</v>
      </c>
      <c r="B1189" t="s">
        <v>125</v>
      </c>
    </row>
    <row r="1190" spans="1:2" x14ac:dyDescent="0.25">
      <c r="A1190" t="s">
        <v>1338</v>
      </c>
      <c r="B1190" t="s">
        <v>125</v>
      </c>
    </row>
    <row r="1191" spans="1:2" x14ac:dyDescent="0.25">
      <c r="A1191" t="s">
        <v>1339</v>
      </c>
      <c r="B1191" t="s">
        <v>125</v>
      </c>
    </row>
    <row r="1192" spans="1:2" x14ac:dyDescent="0.25">
      <c r="A1192" t="s">
        <v>1340</v>
      </c>
      <c r="B1192" t="s">
        <v>125</v>
      </c>
    </row>
    <row r="1193" spans="1:2" x14ac:dyDescent="0.25">
      <c r="A1193" t="s">
        <v>1341</v>
      </c>
      <c r="B1193" t="s">
        <v>125</v>
      </c>
    </row>
    <row r="1194" spans="1:2" x14ac:dyDescent="0.25">
      <c r="A1194" t="s">
        <v>1342</v>
      </c>
      <c r="B1194" t="s">
        <v>125</v>
      </c>
    </row>
    <row r="1195" spans="1:2" x14ac:dyDescent="0.25">
      <c r="A1195" t="s">
        <v>1343</v>
      </c>
      <c r="B1195" t="s">
        <v>125</v>
      </c>
    </row>
    <row r="1196" spans="1:2" x14ac:dyDescent="0.25">
      <c r="A1196" t="s">
        <v>1344</v>
      </c>
      <c r="B1196" t="s">
        <v>125</v>
      </c>
    </row>
    <row r="1197" spans="1:2" x14ac:dyDescent="0.25">
      <c r="A1197" t="s">
        <v>1345</v>
      </c>
      <c r="B1197" t="s">
        <v>125</v>
      </c>
    </row>
    <row r="1198" spans="1:2" x14ac:dyDescent="0.25">
      <c r="A1198" t="s">
        <v>176</v>
      </c>
      <c r="B1198" t="s">
        <v>125</v>
      </c>
    </row>
    <row r="1199" spans="1:2" x14ac:dyDescent="0.25">
      <c r="A1199" t="s">
        <v>1346</v>
      </c>
      <c r="B1199" t="s">
        <v>125</v>
      </c>
    </row>
    <row r="1200" spans="1:2" x14ac:dyDescent="0.25">
      <c r="A1200" t="s">
        <v>1347</v>
      </c>
      <c r="B1200" t="s">
        <v>125</v>
      </c>
    </row>
    <row r="1201" spans="1:2" x14ac:dyDescent="0.25">
      <c r="A1201" t="s">
        <v>1348</v>
      </c>
      <c r="B1201" t="s">
        <v>125</v>
      </c>
    </row>
    <row r="1202" spans="1:2" x14ac:dyDescent="0.25">
      <c r="A1202" t="s">
        <v>1349</v>
      </c>
      <c r="B1202" t="s">
        <v>125</v>
      </c>
    </row>
    <row r="1203" spans="1:2" x14ac:dyDescent="0.25">
      <c r="A1203" t="s">
        <v>1350</v>
      </c>
      <c r="B1203" t="s">
        <v>125</v>
      </c>
    </row>
    <row r="1204" spans="1:2" x14ac:dyDescent="0.25">
      <c r="A1204" t="s">
        <v>622</v>
      </c>
      <c r="B1204" t="s">
        <v>125</v>
      </c>
    </row>
    <row r="1205" spans="1:2" x14ac:dyDescent="0.25">
      <c r="A1205" t="s">
        <v>623</v>
      </c>
      <c r="B1205" t="s">
        <v>125</v>
      </c>
    </row>
    <row r="1206" spans="1:2" x14ac:dyDescent="0.25">
      <c r="A1206" t="s">
        <v>624</v>
      </c>
      <c r="B1206" t="s">
        <v>125</v>
      </c>
    </row>
    <row r="1207" spans="1:2" x14ac:dyDescent="0.25">
      <c r="A1207" t="s">
        <v>1351</v>
      </c>
      <c r="B1207" t="s">
        <v>125</v>
      </c>
    </row>
    <row r="1208" spans="1:2" x14ac:dyDescent="0.25">
      <c r="A1208" t="s">
        <v>1352</v>
      </c>
      <c r="B1208" t="s">
        <v>125</v>
      </c>
    </row>
    <row r="1209" spans="1:2" x14ac:dyDescent="0.25">
      <c r="A1209" t="s">
        <v>1353</v>
      </c>
      <c r="B1209" t="s">
        <v>125</v>
      </c>
    </row>
    <row r="1210" spans="1:2" x14ac:dyDescent="0.25">
      <c r="A1210" t="s">
        <v>1354</v>
      </c>
      <c r="B1210" t="s">
        <v>125</v>
      </c>
    </row>
    <row r="1211" spans="1:2" x14ac:dyDescent="0.25">
      <c r="A1211" t="s">
        <v>1355</v>
      </c>
      <c r="B1211" t="s">
        <v>125</v>
      </c>
    </row>
    <row r="1212" spans="1:2" x14ac:dyDescent="0.25">
      <c r="A1212" t="s">
        <v>1356</v>
      </c>
      <c r="B1212" t="s">
        <v>125</v>
      </c>
    </row>
    <row r="1213" spans="1:2" x14ac:dyDescent="0.25">
      <c r="A1213" t="s">
        <v>632</v>
      </c>
      <c r="B1213" t="s">
        <v>125</v>
      </c>
    </row>
    <row r="1214" spans="1:2" x14ac:dyDescent="0.25">
      <c r="A1214" t="s">
        <v>633</v>
      </c>
      <c r="B1214" t="s">
        <v>125</v>
      </c>
    </row>
    <row r="1215" spans="1:2" x14ac:dyDescent="0.25">
      <c r="A1215" t="s">
        <v>1357</v>
      </c>
      <c r="B1215" t="s">
        <v>125</v>
      </c>
    </row>
    <row r="1216" spans="1:2" x14ac:dyDescent="0.25">
      <c r="A1216" t="s">
        <v>179</v>
      </c>
      <c r="B1216" t="s">
        <v>125</v>
      </c>
    </row>
    <row r="1217" spans="1:2" x14ac:dyDescent="0.25">
      <c r="A1217" t="s">
        <v>1358</v>
      </c>
      <c r="B1217" t="s">
        <v>125</v>
      </c>
    </row>
    <row r="1218" spans="1:2" x14ac:dyDescent="0.25">
      <c r="A1218" t="s">
        <v>1359</v>
      </c>
      <c r="B1218" t="s">
        <v>125</v>
      </c>
    </row>
    <row r="1219" spans="1:2" x14ac:dyDescent="0.25">
      <c r="A1219" t="s">
        <v>1360</v>
      </c>
      <c r="B1219" t="s">
        <v>125</v>
      </c>
    </row>
    <row r="1220" spans="1:2" x14ac:dyDescent="0.25">
      <c r="A1220" t="s">
        <v>640</v>
      </c>
      <c r="B1220" t="s">
        <v>125</v>
      </c>
    </row>
    <row r="1221" spans="1:2" x14ac:dyDescent="0.25">
      <c r="A1221" t="s">
        <v>1361</v>
      </c>
      <c r="B1221" t="s">
        <v>125</v>
      </c>
    </row>
    <row r="1222" spans="1:2" x14ac:dyDescent="0.25">
      <c r="A1222" t="s">
        <v>1362</v>
      </c>
      <c r="B1222" t="s">
        <v>125</v>
      </c>
    </row>
    <row r="1223" spans="1:2" x14ac:dyDescent="0.25">
      <c r="A1223" t="s">
        <v>1363</v>
      </c>
      <c r="B1223" t="s">
        <v>125</v>
      </c>
    </row>
    <row r="1224" spans="1:2" x14ac:dyDescent="0.25">
      <c r="A1224" t="s">
        <v>1364</v>
      </c>
      <c r="B1224" t="s">
        <v>125</v>
      </c>
    </row>
    <row r="1225" spans="1:2" x14ac:dyDescent="0.25">
      <c r="A1225" t="s">
        <v>1365</v>
      </c>
      <c r="B1225" t="s">
        <v>125</v>
      </c>
    </row>
    <row r="1226" spans="1:2" x14ac:dyDescent="0.25">
      <c r="A1226" t="s">
        <v>174</v>
      </c>
      <c r="B1226" t="s">
        <v>125</v>
      </c>
    </row>
    <row r="1227" spans="1:2" x14ac:dyDescent="0.25">
      <c r="A1227" t="s">
        <v>1366</v>
      </c>
      <c r="B1227" t="s">
        <v>125</v>
      </c>
    </row>
    <row r="1228" spans="1:2" x14ac:dyDescent="0.25">
      <c r="A1228" t="s">
        <v>1367</v>
      </c>
      <c r="B1228" t="s">
        <v>125</v>
      </c>
    </row>
    <row r="1229" spans="1:2" x14ac:dyDescent="0.25">
      <c r="A1229" t="s">
        <v>1368</v>
      </c>
      <c r="B1229" t="s">
        <v>125</v>
      </c>
    </row>
    <row r="1230" spans="1:2" x14ac:dyDescent="0.25">
      <c r="A1230" t="s">
        <v>1369</v>
      </c>
      <c r="B1230" t="s">
        <v>125</v>
      </c>
    </row>
    <row r="1231" spans="1:2" x14ac:dyDescent="0.25">
      <c r="A1231" t="s">
        <v>1370</v>
      </c>
      <c r="B1231" t="s">
        <v>125</v>
      </c>
    </row>
    <row r="1232" spans="1:2" x14ac:dyDescent="0.25">
      <c r="A1232" t="s">
        <v>1371</v>
      </c>
      <c r="B1232" t="s">
        <v>125</v>
      </c>
    </row>
    <row r="1233" spans="1:2" x14ac:dyDescent="0.25">
      <c r="A1233" t="s">
        <v>1372</v>
      </c>
      <c r="B1233" t="s">
        <v>125</v>
      </c>
    </row>
    <row r="1234" spans="1:2" x14ac:dyDescent="0.25">
      <c r="A1234" t="s">
        <v>442</v>
      </c>
      <c r="B1234" t="s">
        <v>125</v>
      </c>
    </row>
    <row r="1235" spans="1:2" x14ac:dyDescent="0.25">
      <c r="A1235" t="s">
        <v>445</v>
      </c>
      <c r="B1235" t="s">
        <v>125</v>
      </c>
    </row>
    <row r="1236" spans="1:2" x14ac:dyDescent="0.25">
      <c r="A1236" t="s">
        <v>448</v>
      </c>
      <c r="B1236" t="s">
        <v>125</v>
      </c>
    </row>
    <row r="1237" spans="1:2" x14ac:dyDescent="0.25">
      <c r="A1237" t="s">
        <v>337</v>
      </c>
      <c r="B1237" t="s">
        <v>125</v>
      </c>
    </row>
    <row r="1238" spans="1:2" x14ac:dyDescent="0.25">
      <c r="A1238" t="s">
        <v>595</v>
      </c>
      <c r="B1238" t="s">
        <v>125</v>
      </c>
    </row>
    <row r="1239" spans="1:2" x14ac:dyDescent="0.25">
      <c r="A1239" t="s">
        <v>596</v>
      </c>
      <c r="B1239" t="s">
        <v>125</v>
      </c>
    </row>
    <row r="1240" spans="1:2" x14ac:dyDescent="0.25">
      <c r="A1240" t="s">
        <v>1373</v>
      </c>
      <c r="B1240" t="s">
        <v>125</v>
      </c>
    </row>
    <row r="1241" spans="1:2" x14ac:dyDescent="0.25">
      <c r="A1241" t="s">
        <v>597</v>
      </c>
      <c r="B1241" t="s">
        <v>125</v>
      </c>
    </row>
    <row r="1242" spans="1:2" x14ac:dyDescent="0.25">
      <c r="A1242" t="s">
        <v>214</v>
      </c>
      <c r="B1242" t="s">
        <v>125</v>
      </c>
    </row>
    <row r="1243" spans="1:2" x14ac:dyDescent="0.25">
      <c r="A1243" t="s">
        <v>215</v>
      </c>
      <c r="B1243" t="s">
        <v>125</v>
      </c>
    </row>
    <row r="1244" spans="1:2" x14ac:dyDescent="0.25">
      <c r="A1244" t="s">
        <v>1374</v>
      </c>
      <c r="B1244" t="s">
        <v>125</v>
      </c>
    </row>
    <row r="1245" spans="1:2" x14ac:dyDescent="0.25">
      <c r="A1245" t="s">
        <v>1375</v>
      </c>
      <c r="B1245" t="s">
        <v>125</v>
      </c>
    </row>
    <row r="1246" spans="1:2" x14ac:dyDescent="0.25">
      <c r="A1246" t="s">
        <v>1376</v>
      </c>
      <c r="B1246" t="s">
        <v>125</v>
      </c>
    </row>
    <row r="1247" spans="1:2" x14ac:dyDescent="0.25">
      <c r="A1247" t="s">
        <v>1377</v>
      </c>
      <c r="B1247" t="s">
        <v>125</v>
      </c>
    </row>
    <row r="1248" spans="1:2" x14ac:dyDescent="0.25">
      <c r="A1248" t="s">
        <v>1378</v>
      </c>
      <c r="B1248" t="s">
        <v>125</v>
      </c>
    </row>
    <row r="1249" spans="1:2" x14ac:dyDescent="0.25">
      <c r="A1249" t="s">
        <v>1379</v>
      </c>
      <c r="B1249" t="s">
        <v>125</v>
      </c>
    </row>
    <row r="1250" spans="1:2" x14ac:dyDescent="0.25">
      <c r="A1250" t="s">
        <v>164</v>
      </c>
      <c r="B1250" t="s">
        <v>125</v>
      </c>
    </row>
    <row r="1251" spans="1:2" x14ac:dyDescent="0.25">
      <c r="A1251" t="s">
        <v>226</v>
      </c>
      <c r="B1251" t="s">
        <v>125</v>
      </c>
    </row>
    <row r="1252" spans="1:2" x14ac:dyDescent="0.25">
      <c r="A1252" t="s">
        <v>1380</v>
      </c>
      <c r="B1252" t="s">
        <v>125</v>
      </c>
    </row>
    <row r="1253" spans="1:2" x14ac:dyDescent="0.25">
      <c r="A1253" t="s">
        <v>227</v>
      </c>
      <c r="B1253" t="s">
        <v>125</v>
      </c>
    </row>
    <row r="1254" spans="1:2" x14ac:dyDescent="0.25">
      <c r="A1254" t="s">
        <v>1381</v>
      </c>
      <c r="B1254" t="s">
        <v>125</v>
      </c>
    </row>
    <row r="1255" spans="1:2" x14ac:dyDescent="0.25">
      <c r="A1255" t="s">
        <v>1382</v>
      </c>
      <c r="B1255" t="s">
        <v>125</v>
      </c>
    </row>
    <row r="1256" spans="1:2" x14ac:dyDescent="0.25">
      <c r="A1256" t="s">
        <v>1383</v>
      </c>
      <c r="B1256" t="s">
        <v>125</v>
      </c>
    </row>
    <row r="1257" spans="1:2" x14ac:dyDescent="0.25">
      <c r="A1257" t="s">
        <v>1384</v>
      </c>
      <c r="B1257" t="s">
        <v>125</v>
      </c>
    </row>
    <row r="1258" spans="1:2" x14ac:dyDescent="0.25">
      <c r="A1258" t="s">
        <v>1385</v>
      </c>
      <c r="B1258" t="s">
        <v>125</v>
      </c>
    </row>
    <row r="1259" spans="1:2" x14ac:dyDescent="0.25">
      <c r="A1259" t="s">
        <v>784</v>
      </c>
      <c r="B1259" t="s">
        <v>125</v>
      </c>
    </row>
    <row r="1260" spans="1:2" x14ac:dyDescent="0.25">
      <c r="A1260" t="s">
        <v>785</v>
      </c>
      <c r="B1260" t="s">
        <v>125</v>
      </c>
    </row>
    <row r="1261" spans="1:2" x14ac:dyDescent="0.25">
      <c r="A1261" t="s">
        <v>786</v>
      </c>
      <c r="B1261" t="s">
        <v>125</v>
      </c>
    </row>
    <row r="1262" spans="1:2" x14ac:dyDescent="0.25">
      <c r="A1262" t="s">
        <v>787</v>
      </c>
      <c r="B1262" t="s">
        <v>125</v>
      </c>
    </row>
    <row r="1263" spans="1:2" x14ac:dyDescent="0.25">
      <c r="A1263" t="s">
        <v>1386</v>
      </c>
      <c r="B1263" t="s">
        <v>125</v>
      </c>
    </row>
    <row r="1264" spans="1:2" x14ac:dyDescent="0.25">
      <c r="A1264" t="s">
        <v>790</v>
      </c>
      <c r="B1264" t="s">
        <v>125</v>
      </c>
    </row>
    <row r="1265" spans="1:2" x14ac:dyDescent="0.25">
      <c r="A1265" t="s">
        <v>791</v>
      </c>
      <c r="B1265" t="s">
        <v>125</v>
      </c>
    </row>
    <row r="1266" spans="1:2" x14ac:dyDescent="0.25">
      <c r="A1266" t="s">
        <v>792</v>
      </c>
      <c r="B1266" t="s">
        <v>125</v>
      </c>
    </row>
    <row r="1267" spans="1:2" x14ac:dyDescent="0.25">
      <c r="A1267" t="s">
        <v>1387</v>
      </c>
      <c r="B1267" t="s">
        <v>125</v>
      </c>
    </row>
    <row r="1268" spans="1:2" x14ac:dyDescent="0.25">
      <c r="A1268" t="s">
        <v>795</v>
      </c>
      <c r="B1268" t="s">
        <v>125</v>
      </c>
    </row>
    <row r="1269" spans="1:2" x14ac:dyDescent="0.25">
      <c r="A1269" t="s">
        <v>796</v>
      </c>
      <c r="B1269" t="s">
        <v>125</v>
      </c>
    </row>
    <row r="1270" spans="1:2" x14ac:dyDescent="0.25">
      <c r="A1270" t="s">
        <v>1388</v>
      </c>
      <c r="B1270" t="s">
        <v>125</v>
      </c>
    </row>
    <row r="1271" spans="1:2" x14ac:dyDescent="0.25">
      <c r="A1271" t="s">
        <v>799</v>
      </c>
      <c r="B1271" t="s">
        <v>125</v>
      </c>
    </row>
    <row r="1272" spans="1:2" x14ac:dyDescent="0.25">
      <c r="A1272" t="s">
        <v>1389</v>
      </c>
      <c r="B1272" t="s">
        <v>125</v>
      </c>
    </row>
    <row r="1273" spans="1:2" x14ac:dyDescent="0.25">
      <c r="A1273" t="s">
        <v>453</v>
      </c>
      <c r="B1273" t="s">
        <v>125</v>
      </c>
    </row>
    <row r="1274" spans="1:2" x14ac:dyDescent="0.25">
      <c r="A1274" t="s">
        <v>1390</v>
      </c>
      <c r="B1274" t="s">
        <v>125</v>
      </c>
    </row>
    <row r="1275" spans="1:2" x14ac:dyDescent="0.25">
      <c r="A1275" t="s">
        <v>1391</v>
      </c>
      <c r="B1275" t="s">
        <v>125</v>
      </c>
    </row>
    <row r="1276" spans="1:2" x14ac:dyDescent="0.25">
      <c r="A1276" t="s">
        <v>173</v>
      </c>
      <c r="B1276" t="s">
        <v>125</v>
      </c>
    </row>
    <row r="1277" spans="1:2" x14ac:dyDescent="0.25">
      <c r="A1277" t="s">
        <v>1392</v>
      </c>
      <c r="B1277" t="s">
        <v>125</v>
      </c>
    </row>
    <row r="1278" spans="1:2" x14ac:dyDescent="0.25">
      <c r="A1278" t="s">
        <v>1393</v>
      </c>
      <c r="B1278" t="s">
        <v>125</v>
      </c>
    </row>
    <row r="1279" spans="1:2" x14ac:dyDescent="0.25">
      <c r="A1279" t="s">
        <v>1394</v>
      </c>
      <c r="B1279" t="s">
        <v>125</v>
      </c>
    </row>
    <row r="1280" spans="1:2" x14ac:dyDescent="0.25">
      <c r="A1280" t="s">
        <v>1395</v>
      </c>
      <c r="B1280" t="s">
        <v>125</v>
      </c>
    </row>
    <row r="1281" spans="1:2" x14ac:dyDescent="0.25">
      <c r="A1281" t="s">
        <v>1396</v>
      </c>
      <c r="B1281" t="s">
        <v>125</v>
      </c>
    </row>
    <row r="1282" spans="1:2" x14ac:dyDescent="0.25">
      <c r="A1282" t="s">
        <v>1397</v>
      </c>
      <c r="B1282" t="s">
        <v>125</v>
      </c>
    </row>
    <row r="1283" spans="1:2" x14ac:dyDescent="0.25">
      <c r="A1283" t="s">
        <v>1398</v>
      </c>
      <c r="B1283" t="s">
        <v>125</v>
      </c>
    </row>
    <row r="1284" spans="1:2" x14ac:dyDescent="0.25">
      <c r="A1284" t="s">
        <v>237</v>
      </c>
      <c r="B1284" t="s">
        <v>125</v>
      </c>
    </row>
    <row r="1285" spans="1:2" x14ac:dyDescent="0.25">
      <c r="A1285" t="s">
        <v>1399</v>
      </c>
      <c r="B1285" t="s">
        <v>125</v>
      </c>
    </row>
    <row r="1286" spans="1:2" x14ac:dyDescent="0.25">
      <c r="A1286" t="s">
        <v>1400</v>
      </c>
      <c r="B1286" t="s">
        <v>125</v>
      </c>
    </row>
    <row r="1287" spans="1:2" x14ac:dyDescent="0.25">
      <c r="A1287" t="s">
        <v>1401</v>
      </c>
      <c r="B1287" t="s">
        <v>125</v>
      </c>
    </row>
    <row r="1288" spans="1:2" x14ac:dyDescent="0.25">
      <c r="A1288" t="s">
        <v>1402</v>
      </c>
      <c r="B1288" t="s">
        <v>125</v>
      </c>
    </row>
    <row r="1289" spans="1:2" x14ac:dyDescent="0.25">
      <c r="A1289" t="s">
        <v>245</v>
      </c>
      <c r="B1289" t="s">
        <v>125</v>
      </c>
    </row>
    <row r="1290" spans="1:2" x14ac:dyDescent="0.25">
      <c r="A1290" t="s">
        <v>1403</v>
      </c>
      <c r="B1290" t="s">
        <v>125</v>
      </c>
    </row>
    <row r="1291" spans="1:2" x14ac:dyDescent="0.25">
      <c r="A1291" t="s">
        <v>181</v>
      </c>
      <c r="B1291" t="s">
        <v>125</v>
      </c>
    </row>
    <row r="1292" spans="1:2" x14ac:dyDescent="0.25">
      <c r="A1292" t="s">
        <v>1404</v>
      </c>
      <c r="B1292" t="s">
        <v>125</v>
      </c>
    </row>
    <row r="1293" spans="1:2" x14ac:dyDescent="0.25">
      <c r="A1293" t="s">
        <v>1405</v>
      </c>
      <c r="B1293" t="s">
        <v>125</v>
      </c>
    </row>
    <row r="1294" spans="1:2" x14ac:dyDescent="0.25">
      <c r="A1294" t="s">
        <v>1406</v>
      </c>
      <c r="B1294" t="s">
        <v>125</v>
      </c>
    </row>
    <row r="1295" spans="1:2" x14ac:dyDescent="0.25">
      <c r="A1295" t="s">
        <v>1407</v>
      </c>
      <c r="B1295" t="s">
        <v>125</v>
      </c>
    </row>
    <row r="1296" spans="1:2" x14ac:dyDescent="0.25">
      <c r="A1296" t="s">
        <v>1408</v>
      </c>
      <c r="B1296" t="s">
        <v>125</v>
      </c>
    </row>
    <row r="1297" spans="1:2" x14ac:dyDescent="0.25">
      <c r="A1297" t="s">
        <v>435</v>
      </c>
      <c r="B1297" t="s">
        <v>125</v>
      </c>
    </row>
    <row r="1298" spans="1:2" x14ac:dyDescent="0.25">
      <c r="A1298" t="s">
        <v>436</v>
      </c>
      <c r="B1298" t="s">
        <v>125</v>
      </c>
    </row>
    <row r="1299" spans="1:2" x14ac:dyDescent="0.25">
      <c r="A1299" t="s">
        <v>438</v>
      </c>
      <c r="B1299" t="s">
        <v>125</v>
      </c>
    </row>
    <row r="1300" spans="1:2" x14ac:dyDescent="0.25">
      <c r="A1300" t="s">
        <v>443</v>
      </c>
      <c r="B1300" t="s">
        <v>125</v>
      </c>
    </row>
    <row r="1301" spans="1:2" x14ac:dyDescent="0.25">
      <c r="A1301" t="s">
        <v>444</v>
      </c>
      <c r="B1301" t="s">
        <v>125</v>
      </c>
    </row>
    <row r="1302" spans="1:2" x14ac:dyDescent="0.25">
      <c r="A1302" t="s">
        <v>446</v>
      </c>
      <c r="B1302" t="s">
        <v>125</v>
      </c>
    </row>
    <row r="1303" spans="1:2" x14ac:dyDescent="0.25">
      <c r="A1303" t="s">
        <v>339</v>
      </c>
      <c r="B1303" t="s">
        <v>125</v>
      </c>
    </row>
    <row r="1304" spans="1:2" x14ac:dyDescent="0.25">
      <c r="A1304" t="s">
        <v>1409</v>
      </c>
      <c r="B1304" t="s">
        <v>125</v>
      </c>
    </row>
    <row r="1305" spans="1:2" x14ac:dyDescent="0.25">
      <c r="A1305" t="s">
        <v>1410</v>
      </c>
      <c r="B1305" t="s">
        <v>125</v>
      </c>
    </row>
    <row r="1306" spans="1:2" x14ac:dyDescent="0.25">
      <c r="A1306" t="s">
        <v>1411</v>
      </c>
      <c r="B1306" t="s">
        <v>125</v>
      </c>
    </row>
    <row r="1307" spans="1:2" x14ac:dyDescent="0.25">
      <c r="A1307" t="s">
        <v>1412</v>
      </c>
      <c r="B1307" t="s">
        <v>125</v>
      </c>
    </row>
    <row r="1308" spans="1:2" x14ac:dyDescent="0.25">
      <c r="A1308" t="s">
        <v>1413</v>
      </c>
      <c r="B1308" t="s">
        <v>125</v>
      </c>
    </row>
    <row r="1309" spans="1:2" x14ac:dyDescent="0.25">
      <c r="A1309" t="s">
        <v>1414</v>
      </c>
      <c r="B1309" t="s">
        <v>125</v>
      </c>
    </row>
    <row r="1310" spans="1:2" x14ac:dyDescent="0.25">
      <c r="A1310" t="s">
        <v>1415</v>
      </c>
      <c r="B1310" t="s">
        <v>125</v>
      </c>
    </row>
    <row r="1311" spans="1:2" x14ac:dyDescent="0.25">
      <c r="A1311" t="s">
        <v>1416</v>
      </c>
      <c r="B1311" t="s">
        <v>125</v>
      </c>
    </row>
    <row r="1312" spans="1:2" x14ac:dyDescent="0.25">
      <c r="A1312" t="s">
        <v>1417</v>
      </c>
      <c r="B1312" t="s">
        <v>125</v>
      </c>
    </row>
    <row r="1313" spans="1:2" x14ac:dyDescent="0.25">
      <c r="A1313" t="s">
        <v>254</v>
      </c>
      <c r="B1313" t="s">
        <v>125</v>
      </c>
    </row>
    <row r="1314" spans="1:2" x14ac:dyDescent="0.25">
      <c r="A1314" t="s">
        <v>1418</v>
      </c>
      <c r="B1314" t="s">
        <v>125</v>
      </c>
    </row>
    <row r="1315" spans="1:2" x14ac:dyDescent="0.25">
      <c r="A1315" t="s">
        <v>183</v>
      </c>
      <c r="B1315" t="s">
        <v>125</v>
      </c>
    </row>
    <row r="1316" spans="1:2" x14ac:dyDescent="0.25">
      <c r="A1316" t="s">
        <v>182</v>
      </c>
      <c r="B1316" t="s">
        <v>125</v>
      </c>
    </row>
    <row r="1317" spans="1:2" x14ac:dyDescent="0.25">
      <c r="A1317" t="s">
        <v>1419</v>
      </c>
      <c r="B1317" t="s">
        <v>125</v>
      </c>
    </row>
    <row r="1318" spans="1:2" x14ac:dyDescent="0.25">
      <c r="A1318" t="s">
        <v>193</v>
      </c>
      <c r="B1318" t="s">
        <v>125</v>
      </c>
    </row>
    <row r="1319" spans="1:2" x14ac:dyDescent="0.25">
      <c r="A1319" t="s">
        <v>1420</v>
      </c>
      <c r="B1319" t="s">
        <v>125</v>
      </c>
    </row>
    <row r="1320" spans="1:2" x14ac:dyDescent="0.25">
      <c r="A1320" t="s">
        <v>1421</v>
      </c>
      <c r="B1320" t="s">
        <v>125</v>
      </c>
    </row>
    <row r="1321" spans="1:2" x14ac:dyDescent="0.25">
      <c r="A1321" t="s">
        <v>1422</v>
      </c>
      <c r="B1321" t="s">
        <v>125</v>
      </c>
    </row>
    <row r="1322" spans="1:2" x14ac:dyDescent="0.25">
      <c r="A1322" t="s">
        <v>1423</v>
      </c>
      <c r="B1322" t="s">
        <v>125</v>
      </c>
    </row>
    <row r="1323" spans="1:2" x14ac:dyDescent="0.25">
      <c r="A1323" t="s">
        <v>1424</v>
      </c>
      <c r="B1323" t="s">
        <v>125</v>
      </c>
    </row>
    <row r="1324" spans="1:2" x14ac:dyDescent="0.25">
      <c r="A1324" t="s">
        <v>1425</v>
      </c>
      <c r="B1324" t="s">
        <v>125</v>
      </c>
    </row>
    <row r="1325" spans="1:2" x14ac:dyDescent="0.25">
      <c r="A1325" t="s">
        <v>1426</v>
      </c>
      <c r="B1325" t="s">
        <v>125</v>
      </c>
    </row>
    <row r="1326" spans="1:2" x14ac:dyDescent="0.25">
      <c r="A1326" t="s">
        <v>1427</v>
      </c>
      <c r="B1326" t="s">
        <v>125</v>
      </c>
    </row>
    <row r="1327" spans="1:2" x14ac:dyDescent="0.25">
      <c r="A1327" t="s">
        <v>1428</v>
      </c>
      <c r="B1327" t="s">
        <v>125</v>
      </c>
    </row>
    <row r="1328" spans="1:2" x14ac:dyDescent="0.25">
      <c r="A1328" t="s">
        <v>1429</v>
      </c>
      <c r="B1328" t="s">
        <v>125</v>
      </c>
    </row>
    <row r="1329" spans="1:2" x14ac:dyDescent="0.25">
      <c r="A1329" t="s">
        <v>1430</v>
      </c>
      <c r="B1329" t="s">
        <v>125</v>
      </c>
    </row>
    <row r="1330" spans="1:2" x14ac:dyDescent="0.25">
      <c r="A1330" t="s">
        <v>1431</v>
      </c>
      <c r="B1330" t="s">
        <v>125</v>
      </c>
    </row>
    <row r="1331" spans="1:2" x14ac:dyDescent="0.25">
      <c r="A1331" t="s">
        <v>475</v>
      </c>
      <c r="B1331" t="s">
        <v>125</v>
      </c>
    </row>
    <row r="1332" spans="1:2" x14ac:dyDescent="0.25">
      <c r="A1332" t="s">
        <v>476</v>
      </c>
      <c r="B1332" t="s">
        <v>125</v>
      </c>
    </row>
    <row r="1333" spans="1:2" x14ac:dyDescent="0.25">
      <c r="A1333" t="s">
        <v>477</v>
      </c>
      <c r="B1333" t="s">
        <v>125</v>
      </c>
    </row>
    <row r="1334" spans="1:2" x14ac:dyDescent="0.25">
      <c r="A1334" t="s">
        <v>1432</v>
      </c>
      <c r="B1334" t="s">
        <v>125</v>
      </c>
    </row>
    <row r="1335" spans="1:2" x14ac:dyDescent="0.25">
      <c r="A1335" t="s">
        <v>1433</v>
      </c>
      <c r="B1335" t="s">
        <v>125</v>
      </c>
    </row>
    <row r="1336" spans="1:2" x14ac:dyDescent="0.25">
      <c r="A1336" t="s">
        <v>1434</v>
      </c>
      <c r="B1336" t="s">
        <v>125</v>
      </c>
    </row>
    <row r="1337" spans="1:2" x14ac:dyDescent="0.25">
      <c r="A1337" t="s">
        <v>1435</v>
      </c>
      <c r="B1337" t="s">
        <v>125</v>
      </c>
    </row>
    <row r="1338" spans="1:2" x14ac:dyDescent="0.25">
      <c r="A1338" t="s">
        <v>1436</v>
      </c>
      <c r="B1338" t="s">
        <v>125</v>
      </c>
    </row>
    <row r="1339" spans="1:2" x14ac:dyDescent="0.25">
      <c r="A1339" t="s">
        <v>1437</v>
      </c>
      <c r="B1339" t="s">
        <v>125</v>
      </c>
    </row>
    <row r="1340" spans="1:2" x14ac:dyDescent="0.25">
      <c r="A1340" t="s">
        <v>484</v>
      </c>
      <c r="B1340" t="s">
        <v>125</v>
      </c>
    </row>
    <row r="1341" spans="1:2" x14ac:dyDescent="0.25">
      <c r="A1341" t="s">
        <v>485</v>
      </c>
      <c r="B1341" t="s">
        <v>125</v>
      </c>
    </row>
    <row r="1342" spans="1:2" x14ac:dyDescent="0.25">
      <c r="A1342" t="s">
        <v>1438</v>
      </c>
      <c r="B1342" t="s">
        <v>125</v>
      </c>
    </row>
    <row r="1343" spans="1:2" x14ac:dyDescent="0.25">
      <c r="A1343" t="s">
        <v>1439</v>
      </c>
      <c r="B1343" t="s">
        <v>125</v>
      </c>
    </row>
    <row r="1344" spans="1:2" x14ac:dyDescent="0.25">
      <c r="A1344" t="s">
        <v>1440</v>
      </c>
      <c r="B1344" t="s">
        <v>125</v>
      </c>
    </row>
    <row r="1345" spans="1:2" x14ac:dyDescent="0.25">
      <c r="A1345" t="s">
        <v>1441</v>
      </c>
      <c r="B1345" t="s">
        <v>125</v>
      </c>
    </row>
    <row r="1346" spans="1:2" x14ac:dyDescent="0.25">
      <c r="A1346" t="s">
        <v>1442</v>
      </c>
      <c r="B1346" t="s">
        <v>125</v>
      </c>
    </row>
    <row r="1347" spans="1:2" x14ac:dyDescent="0.25">
      <c r="A1347" t="s">
        <v>491</v>
      </c>
      <c r="B1347" t="s">
        <v>125</v>
      </c>
    </row>
    <row r="1348" spans="1:2" x14ac:dyDescent="0.25">
      <c r="A1348" t="s">
        <v>1443</v>
      </c>
      <c r="B1348" t="s">
        <v>125</v>
      </c>
    </row>
    <row r="1349" spans="1:2" x14ac:dyDescent="0.25">
      <c r="A1349" t="s">
        <v>1444</v>
      </c>
      <c r="B1349" t="s">
        <v>125</v>
      </c>
    </row>
    <row r="1350" spans="1:2" x14ac:dyDescent="0.25">
      <c r="A1350" t="s">
        <v>1445</v>
      </c>
      <c r="B1350" t="s">
        <v>125</v>
      </c>
    </row>
    <row r="1351" spans="1:2" x14ac:dyDescent="0.25">
      <c r="A1351" t="s">
        <v>1446</v>
      </c>
      <c r="B1351" t="s">
        <v>125</v>
      </c>
    </row>
    <row r="1352" spans="1:2" x14ac:dyDescent="0.25">
      <c r="A1352" t="s">
        <v>1447</v>
      </c>
      <c r="B1352" t="s">
        <v>125</v>
      </c>
    </row>
    <row r="1353" spans="1:2" x14ac:dyDescent="0.25">
      <c r="A1353" t="s">
        <v>1448</v>
      </c>
      <c r="B1353" t="s">
        <v>125</v>
      </c>
    </row>
    <row r="1354" spans="1:2" x14ac:dyDescent="0.25">
      <c r="A1354" t="s">
        <v>1449</v>
      </c>
      <c r="B1354" t="s">
        <v>125</v>
      </c>
    </row>
    <row r="1355" spans="1:2" x14ac:dyDescent="0.25">
      <c r="A1355" t="s">
        <v>659</v>
      </c>
      <c r="B1355" t="s">
        <v>125</v>
      </c>
    </row>
    <row r="1356" spans="1:2" x14ac:dyDescent="0.25">
      <c r="A1356" t="s">
        <v>660</v>
      </c>
      <c r="B1356" t="s">
        <v>125</v>
      </c>
    </row>
    <row r="1357" spans="1:2" x14ac:dyDescent="0.25">
      <c r="A1357" t="s">
        <v>661</v>
      </c>
      <c r="B1357" t="s">
        <v>125</v>
      </c>
    </row>
    <row r="1358" spans="1:2" x14ac:dyDescent="0.25">
      <c r="A1358" t="s">
        <v>1450</v>
      </c>
      <c r="B1358" t="s">
        <v>125</v>
      </c>
    </row>
    <row r="1359" spans="1:2" x14ac:dyDescent="0.25">
      <c r="A1359" t="s">
        <v>664</v>
      </c>
      <c r="B1359" t="s">
        <v>125</v>
      </c>
    </row>
    <row r="1360" spans="1:2" x14ac:dyDescent="0.25">
      <c r="A1360" t="s">
        <v>665</v>
      </c>
      <c r="B1360" t="s">
        <v>125</v>
      </c>
    </row>
    <row r="1361" spans="1:2" x14ac:dyDescent="0.25">
      <c r="A1361" t="s">
        <v>1451</v>
      </c>
      <c r="B1361" t="s">
        <v>125</v>
      </c>
    </row>
    <row r="1362" spans="1:2" x14ac:dyDescent="0.25">
      <c r="A1362" t="s">
        <v>668</v>
      </c>
      <c r="B1362" t="s">
        <v>125</v>
      </c>
    </row>
    <row r="1363" spans="1:2" x14ac:dyDescent="0.25">
      <c r="A1363" t="s">
        <v>1452</v>
      </c>
      <c r="B1363" t="s">
        <v>125</v>
      </c>
    </row>
    <row r="1364" spans="1:2" x14ac:dyDescent="0.25">
      <c r="A1364" t="s">
        <v>161</v>
      </c>
      <c r="B1364" t="s">
        <v>125</v>
      </c>
    </row>
    <row r="1365" spans="1:2" x14ac:dyDescent="0.25">
      <c r="A1365" t="s">
        <v>1453</v>
      </c>
      <c r="B1365" t="s">
        <v>125</v>
      </c>
    </row>
    <row r="1366" spans="1:2" x14ac:dyDescent="0.25">
      <c r="A1366" t="s">
        <v>1454</v>
      </c>
      <c r="B1366" t="s">
        <v>125</v>
      </c>
    </row>
    <row r="1367" spans="1:2" x14ac:dyDescent="0.25">
      <c r="A1367" t="s">
        <v>1455</v>
      </c>
      <c r="B1367" t="s">
        <v>125</v>
      </c>
    </row>
    <row r="1368" spans="1:2" x14ac:dyDescent="0.25">
      <c r="A1368" t="s">
        <v>1456</v>
      </c>
      <c r="B1368" t="s">
        <v>125</v>
      </c>
    </row>
    <row r="1369" spans="1:2" x14ac:dyDescent="0.25">
      <c r="A1369" t="s">
        <v>1457</v>
      </c>
      <c r="B1369" t="s">
        <v>125</v>
      </c>
    </row>
    <row r="1370" spans="1:2" x14ac:dyDescent="0.25">
      <c r="A1370" t="s">
        <v>1458</v>
      </c>
      <c r="B1370" t="s">
        <v>125</v>
      </c>
    </row>
    <row r="1371" spans="1:2" x14ac:dyDescent="0.25">
      <c r="A1371" t="s">
        <v>1459</v>
      </c>
      <c r="B1371" t="s">
        <v>125</v>
      </c>
    </row>
    <row r="1372" spans="1:2" x14ac:dyDescent="0.25">
      <c r="A1372" t="s">
        <v>1460</v>
      </c>
      <c r="B1372" t="s">
        <v>125</v>
      </c>
    </row>
    <row r="1373" spans="1:2" x14ac:dyDescent="0.25">
      <c r="A1373" t="s">
        <v>175</v>
      </c>
      <c r="B1373" t="s">
        <v>125</v>
      </c>
    </row>
    <row r="1374" spans="1:2" x14ac:dyDescent="0.25">
      <c r="A1374" t="s">
        <v>1461</v>
      </c>
      <c r="B1374" t="s">
        <v>125</v>
      </c>
    </row>
    <row r="1375" spans="1:2" x14ac:dyDescent="0.25">
      <c r="A1375" t="s">
        <v>1462</v>
      </c>
      <c r="B1375" t="s">
        <v>125</v>
      </c>
    </row>
    <row r="1376" spans="1:2" x14ac:dyDescent="0.25">
      <c r="A1376" t="s">
        <v>1463</v>
      </c>
      <c r="B1376" t="s">
        <v>125</v>
      </c>
    </row>
    <row r="1377" spans="1:2" x14ac:dyDescent="0.25">
      <c r="A1377" t="s">
        <v>1464</v>
      </c>
      <c r="B1377" t="s">
        <v>125</v>
      </c>
    </row>
    <row r="1378" spans="1:2" x14ac:dyDescent="0.25">
      <c r="A1378" t="s">
        <v>1465</v>
      </c>
      <c r="B1378" t="s">
        <v>125</v>
      </c>
    </row>
    <row r="1379" spans="1:2" x14ac:dyDescent="0.25">
      <c r="A1379" t="s">
        <v>540</v>
      </c>
      <c r="B1379" t="s">
        <v>125</v>
      </c>
    </row>
    <row r="1380" spans="1:2" x14ac:dyDescent="0.25">
      <c r="A1380" t="s">
        <v>541</v>
      </c>
      <c r="B1380" t="s">
        <v>125</v>
      </c>
    </row>
    <row r="1381" spans="1:2" x14ac:dyDescent="0.25">
      <c r="A1381" t="s">
        <v>542</v>
      </c>
      <c r="B1381" t="s">
        <v>125</v>
      </c>
    </row>
    <row r="1382" spans="1:2" x14ac:dyDescent="0.25">
      <c r="A1382" t="s">
        <v>1466</v>
      </c>
      <c r="B1382" t="s">
        <v>125</v>
      </c>
    </row>
    <row r="1383" spans="1:2" x14ac:dyDescent="0.25">
      <c r="A1383" t="s">
        <v>1467</v>
      </c>
      <c r="B1383" t="s">
        <v>125</v>
      </c>
    </row>
    <row r="1384" spans="1:2" x14ac:dyDescent="0.25">
      <c r="A1384" t="s">
        <v>1468</v>
      </c>
      <c r="B1384" t="s">
        <v>125</v>
      </c>
    </row>
    <row r="1385" spans="1:2" x14ac:dyDescent="0.25">
      <c r="A1385" t="s">
        <v>1469</v>
      </c>
      <c r="B1385" t="s">
        <v>125</v>
      </c>
    </row>
    <row r="1386" spans="1:2" x14ac:dyDescent="0.25">
      <c r="A1386" t="s">
        <v>1470</v>
      </c>
      <c r="B1386" t="s">
        <v>125</v>
      </c>
    </row>
    <row r="1387" spans="1:2" x14ac:dyDescent="0.25">
      <c r="A1387" t="s">
        <v>1471</v>
      </c>
      <c r="B1387" t="s">
        <v>125</v>
      </c>
    </row>
    <row r="1388" spans="1:2" x14ac:dyDescent="0.25">
      <c r="A1388" t="s">
        <v>550</v>
      </c>
      <c r="B1388" t="s">
        <v>125</v>
      </c>
    </row>
    <row r="1389" spans="1:2" x14ac:dyDescent="0.25">
      <c r="A1389" t="s">
        <v>551</v>
      </c>
      <c r="B1389" t="s">
        <v>125</v>
      </c>
    </row>
    <row r="1390" spans="1:2" x14ac:dyDescent="0.25">
      <c r="A1390" t="s">
        <v>1472</v>
      </c>
      <c r="B1390" t="s">
        <v>125</v>
      </c>
    </row>
    <row r="1391" spans="1:2" x14ac:dyDescent="0.25">
      <c r="A1391" t="s">
        <v>178</v>
      </c>
      <c r="B1391" t="s">
        <v>125</v>
      </c>
    </row>
    <row r="1392" spans="1:2" x14ac:dyDescent="0.25">
      <c r="A1392" t="s">
        <v>1473</v>
      </c>
      <c r="B1392" t="s">
        <v>125</v>
      </c>
    </row>
    <row r="1393" spans="1:2" x14ac:dyDescent="0.25">
      <c r="A1393" t="s">
        <v>1474</v>
      </c>
      <c r="B1393" t="s">
        <v>125</v>
      </c>
    </row>
    <row r="1394" spans="1:2" x14ac:dyDescent="0.25">
      <c r="A1394" t="s">
        <v>1475</v>
      </c>
      <c r="B1394" t="s">
        <v>125</v>
      </c>
    </row>
    <row r="1395" spans="1:2" x14ac:dyDescent="0.25">
      <c r="A1395" t="s">
        <v>558</v>
      </c>
      <c r="B1395" t="s">
        <v>125</v>
      </c>
    </row>
    <row r="1396" spans="1:2" x14ac:dyDescent="0.25">
      <c r="A1396" t="s">
        <v>1476</v>
      </c>
      <c r="B1396" t="s">
        <v>125</v>
      </c>
    </row>
    <row r="1397" spans="1:2" x14ac:dyDescent="0.25">
      <c r="A1397" t="s">
        <v>1477</v>
      </c>
      <c r="B1397" t="s">
        <v>125</v>
      </c>
    </row>
    <row r="1398" spans="1:2" x14ac:dyDescent="0.25">
      <c r="A1398" t="s">
        <v>1478</v>
      </c>
      <c r="B1398" t="s">
        <v>125</v>
      </c>
    </row>
    <row r="1399" spans="1:2" x14ac:dyDescent="0.25">
      <c r="A1399" t="s">
        <v>1479</v>
      </c>
      <c r="B1399" t="s">
        <v>125</v>
      </c>
    </row>
    <row r="1400" spans="1:2" x14ac:dyDescent="0.25">
      <c r="A1400" t="s">
        <v>1480</v>
      </c>
      <c r="B1400" t="s">
        <v>125</v>
      </c>
    </row>
    <row r="1401" spans="1:2" x14ac:dyDescent="0.25">
      <c r="A1401" t="s">
        <v>177</v>
      </c>
      <c r="B1401" t="s">
        <v>125</v>
      </c>
    </row>
    <row r="1402" spans="1:2" x14ac:dyDescent="0.25">
      <c r="A1402" t="s">
        <v>1481</v>
      </c>
      <c r="B1402" t="s">
        <v>125</v>
      </c>
    </row>
    <row r="1403" spans="1:2" x14ac:dyDescent="0.25">
      <c r="A1403" t="s">
        <v>1482</v>
      </c>
      <c r="B1403" t="s">
        <v>125</v>
      </c>
    </row>
    <row r="1404" spans="1:2" x14ac:dyDescent="0.25">
      <c r="A1404" t="s">
        <v>1483</v>
      </c>
      <c r="B1404" t="s">
        <v>125</v>
      </c>
    </row>
    <row r="1405" spans="1:2" x14ac:dyDescent="0.25">
      <c r="A1405" t="s">
        <v>1484</v>
      </c>
      <c r="B1405" t="s">
        <v>125</v>
      </c>
    </row>
    <row r="1406" spans="1:2" x14ac:dyDescent="0.25">
      <c r="A1406" t="s">
        <v>1485</v>
      </c>
      <c r="B1406" t="s">
        <v>125</v>
      </c>
    </row>
    <row r="1407" spans="1:2" x14ac:dyDescent="0.25">
      <c r="A1407" t="s">
        <v>1486</v>
      </c>
      <c r="B1407" t="s">
        <v>125</v>
      </c>
    </row>
    <row r="1408" spans="1:2" x14ac:dyDescent="0.25">
      <c r="A1408" t="s">
        <v>1487</v>
      </c>
      <c r="B1408" t="s">
        <v>125</v>
      </c>
    </row>
    <row r="1409" spans="1:2" x14ac:dyDescent="0.25">
      <c r="A1409" t="s">
        <v>1488</v>
      </c>
      <c r="B1409" t="s">
        <v>125</v>
      </c>
    </row>
    <row r="1410" spans="1:2" x14ac:dyDescent="0.25">
      <c r="A1410" t="s">
        <v>577</v>
      </c>
      <c r="B1410" t="s">
        <v>125</v>
      </c>
    </row>
    <row r="1411" spans="1:2" x14ac:dyDescent="0.25">
      <c r="A1411" t="s">
        <v>578</v>
      </c>
      <c r="B1411" t="s">
        <v>125</v>
      </c>
    </row>
    <row r="1412" spans="1:2" x14ac:dyDescent="0.25">
      <c r="A1412" t="s">
        <v>579</v>
      </c>
      <c r="B1412" t="s">
        <v>125</v>
      </c>
    </row>
    <row r="1413" spans="1:2" x14ac:dyDescent="0.25">
      <c r="A1413" t="s">
        <v>1489</v>
      </c>
      <c r="B1413" t="s">
        <v>125</v>
      </c>
    </row>
    <row r="1414" spans="1:2" x14ac:dyDescent="0.25">
      <c r="A1414" t="s">
        <v>582</v>
      </c>
      <c r="B1414" t="s">
        <v>125</v>
      </c>
    </row>
    <row r="1415" spans="1:2" x14ac:dyDescent="0.25">
      <c r="A1415" t="s">
        <v>583</v>
      </c>
      <c r="B1415" t="s">
        <v>125</v>
      </c>
    </row>
    <row r="1416" spans="1:2" x14ac:dyDescent="0.25">
      <c r="A1416" t="s">
        <v>1490</v>
      </c>
      <c r="B1416" t="s">
        <v>125</v>
      </c>
    </row>
    <row r="1417" spans="1:2" x14ac:dyDescent="0.25">
      <c r="A1417" t="s">
        <v>586</v>
      </c>
      <c r="B1417" t="s">
        <v>125</v>
      </c>
    </row>
    <row r="1418" spans="1:2" x14ac:dyDescent="0.25">
      <c r="A1418" t="s">
        <v>1491</v>
      </c>
      <c r="B1418" t="s">
        <v>125</v>
      </c>
    </row>
    <row r="1419" spans="1:2" x14ac:dyDescent="0.25">
      <c r="A1419" t="s">
        <v>184</v>
      </c>
      <c r="B1419" t="s">
        <v>125</v>
      </c>
    </row>
    <row r="1420" spans="1:2" x14ac:dyDescent="0.25">
      <c r="A1420" t="s">
        <v>333</v>
      </c>
      <c r="B1420" t="s">
        <v>125</v>
      </c>
    </row>
    <row r="1421" spans="1:2" x14ac:dyDescent="0.25">
      <c r="A1421" t="s">
        <v>1492</v>
      </c>
      <c r="B1421" t="s">
        <v>125</v>
      </c>
    </row>
    <row r="1422" spans="1:2" x14ac:dyDescent="0.25">
      <c r="A1422" t="s">
        <v>274</v>
      </c>
      <c r="B1422" t="s">
        <v>125</v>
      </c>
    </row>
    <row r="1423" spans="1:2" x14ac:dyDescent="0.25">
      <c r="A1423" t="s">
        <v>275</v>
      </c>
      <c r="B1423" t="s">
        <v>125</v>
      </c>
    </row>
    <row r="1424" spans="1:2" x14ac:dyDescent="0.25">
      <c r="A1424" t="s">
        <v>276</v>
      </c>
      <c r="B1424" t="s">
        <v>125</v>
      </c>
    </row>
    <row r="1425" spans="1:2" x14ac:dyDescent="0.25">
      <c r="A1425" t="s">
        <v>277</v>
      </c>
      <c r="B1425" t="s">
        <v>125</v>
      </c>
    </row>
    <row r="1426" spans="1:2" x14ac:dyDescent="0.25">
      <c r="A1426" t="s">
        <v>1493</v>
      </c>
      <c r="B1426" t="s">
        <v>125</v>
      </c>
    </row>
    <row r="1427" spans="1:2" x14ac:dyDescent="0.25">
      <c r="A1427" t="s">
        <v>1494</v>
      </c>
      <c r="B1427" t="s">
        <v>125</v>
      </c>
    </row>
    <row r="1428" spans="1:2" x14ac:dyDescent="0.25">
      <c r="A1428" t="s">
        <v>1495</v>
      </c>
      <c r="B1428" t="s">
        <v>125</v>
      </c>
    </row>
    <row r="1429" spans="1:2" x14ac:dyDescent="0.25">
      <c r="A1429" t="s">
        <v>1496</v>
      </c>
      <c r="B1429" t="s">
        <v>125</v>
      </c>
    </row>
    <row r="1430" spans="1:2" x14ac:dyDescent="0.25">
      <c r="A1430" t="s">
        <v>1497</v>
      </c>
      <c r="B1430" t="s">
        <v>125</v>
      </c>
    </row>
    <row r="1431" spans="1:2" x14ac:dyDescent="0.25">
      <c r="A1431" t="s">
        <v>1498</v>
      </c>
      <c r="B1431" t="s">
        <v>125</v>
      </c>
    </row>
    <row r="1432" spans="1:2" x14ac:dyDescent="0.25">
      <c r="A1432" t="s">
        <v>285</v>
      </c>
      <c r="B1432" t="s">
        <v>125</v>
      </c>
    </row>
    <row r="1433" spans="1:2" x14ac:dyDescent="0.25">
      <c r="A1433" t="s">
        <v>286</v>
      </c>
      <c r="B1433" t="s">
        <v>125</v>
      </c>
    </row>
    <row r="1434" spans="1:2" x14ac:dyDescent="0.25">
      <c r="A1434" t="s">
        <v>287</v>
      </c>
      <c r="B1434" t="s">
        <v>125</v>
      </c>
    </row>
    <row r="1435" spans="1:2" x14ac:dyDescent="0.25">
      <c r="A1435" t="s">
        <v>1499</v>
      </c>
      <c r="B1435" t="s">
        <v>125</v>
      </c>
    </row>
    <row r="1436" spans="1:2" x14ac:dyDescent="0.25">
      <c r="A1436" t="s">
        <v>1500</v>
      </c>
      <c r="B1436" t="s">
        <v>125</v>
      </c>
    </row>
    <row r="1437" spans="1:2" x14ac:dyDescent="0.25">
      <c r="A1437" t="s">
        <v>1501</v>
      </c>
      <c r="B1437" t="s">
        <v>125</v>
      </c>
    </row>
    <row r="1438" spans="1:2" x14ac:dyDescent="0.25">
      <c r="A1438" t="s">
        <v>1502</v>
      </c>
      <c r="B1438" t="s">
        <v>125</v>
      </c>
    </row>
    <row r="1439" spans="1:2" x14ac:dyDescent="0.25">
      <c r="A1439" t="s">
        <v>1503</v>
      </c>
      <c r="B1439" t="s">
        <v>125</v>
      </c>
    </row>
    <row r="1440" spans="1:2" x14ac:dyDescent="0.25">
      <c r="A1440" t="s">
        <v>1504</v>
      </c>
      <c r="B1440" t="s">
        <v>125</v>
      </c>
    </row>
    <row r="1441" spans="1:2" x14ac:dyDescent="0.25">
      <c r="A1441" t="s">
        <v>295</v>
      </c>
      <c r="B1441" t="s">
        <v>125</v>
      </c>
    </row>
    <row r="1442" spans="1:2" x14ac:dyDescent="0.25">
      <c r="A1442" t="s">
        <v>296</v>
      </c>
      <c r="B1442" t="s">
        <v>125</v>
      </c>
    </row>
    <row r="1443" spans="1:2" x14ac:dyDescent="0.25">
      <c r="A1443" t="s">
        <v>1505</v>
      </c>
      <c r="B1443" t="s">
        <v>125</v>
      </c>
    </row>
    <row r="1444" spans="1:2" x14ac:dyDescent="0.25">
      <c r="A1444" t="s">
        <v>1506</v>
      </c>
      <c r="B1444" t="s">
        <v>125</v>
      </c>
    </row>
    <row r="1445" spans="1:2" x14ac:dyDescent="0.25">
      <c r="A1445" t="s">
        <v>1507</v>
      </c>
      <c r="B1445" t="s">
        <v>125</v>
      </c>
    </row>
    <row r="1446" spans="1:2" x14ac:dyDescent="0.25">
      <c r="A1446" t="s">
        <v>1508</v>
      </c>
      <c r="B1446" t="s">
        <v>125</v>
      </c>
    </row>
    <row r="1447" spans="1:2" x14ac:dyDescent="0.25">
      <c r="A1447" t="s">
        <v>1509</v>
      </c>
      <c r="B1447" t="s">
        <v>125</v>
      </c>
    </row>
    <row r="1448" spans="1:2" x14ac:dyDescent="0.25">
      <c r="A1448" t="s">
        <v>303</v>
      </c>
      <c r="B1448" t="s">
        <v>125</v>
      </c>
    </row>
    <row r="1449" spans="1:2" x14ac:dyDescent="0.25">
      <c r="A1449" t="s">
        <v>1510</v>
      </c>
      <c r="B1449" t="s">
        <v>125</v>
      </c>
    </row>
    <row r="1450" spans="1:2" x14ac:dyDescent="0.25">
      <c r="A1450" t="s">
        <v>1511</v>
      </c>
      <c r="B1450" t="s">
        <v>125</v>
      </c>
    </row>
    <row r="1451" spans="1:2" x14ac:dyDescent="0.25">
      <c r="A1451" t="s">
        <v>1512</v>
      </c>
      <c r="B1451" t="s">
        <v>125</v>
      </c>
    </row>
    <row r="1452" spans="1:2" x14ac:dyDescent="0.25">
      <c r="A1452" t="s">
        <v>1513</v>
      </c>
      <c r="B1452" t="s">
        <v>125</v>
      </c>
    </row>
    <row r="1453" spans="1:2" x14ac:dyDescent="0.25">
      <c r="A1453" t="s">
        <v>1514</v>
      </c>
      <c r="B1453" t="s">
        <v>125</v>
      </c>
    </row>
    <row r="1454" spans="1:2" x14ac:dyDescent="0.25">
      <c r="A1454" t="s">
        <v>1515</v>
      </c>
      <c r="B1454" t="s">
        <v>125</v>
      </c>
    </row>
    <row r="1455" spans="1:2" x14ac:dyDescent="0.25">
      <c r="A1455" t="s">
        <v>1516</v>
      </c>
      <c r="B1455" t="s">
        <v>125</v>
      </c>
    </row>
    <row r="1456" spans="1:2" x14ac:dyDescent="0.25">
      <c r="A1456" t="s">
        <v>1517</v>
      </c>
      <c r="B1456" t="s">
        <v>125</v>
      </c>
    </row>
    <row r="1457" spans="1:2" x14ac:dyDescent="0.25">
      <c r="A1457" t="s">
        <v>314</v>
      </c>
      <c r="B1457" t="s">
        <v>125</v>
      </c>
    </row>
    <row r="1458" spans="1:2" x14ac:dyDescent="0.25">
      <c r="A1458" t="s">
        <v>315</v>
      </c>
      <c r="B1458" t="s">
        <v>125</v>
      </c>
    </row>
    <row r="1459" spans="1:2" x14ac:dyDescent="0.25">
      <c r="A1459" t="s">
        <v>316</v>
      </c>
      <c r="B1459" t="s">
        <v>125</v>
      </c>
    </row>
    <row r="1460" spans="1:2" x14ac:dyDescent="0.25">
      <c r="A1460" t="s">
        <v>317</v>
      </c>
      <c r="B1460" t="s">
        <v>125</v>
      </c>
    </row>
    <row r="1461" spans="1:2" x14ac:dyDescent="0.25">
      <c r="A1461" t="s">
        <v>1518</v>
      </c>
      <c r="B1461" t="s">
        <v>125</v>
      </c>
    </row>
    <row r="1462" spans="1:2" x14ac:dyDescent="0.25">
      <c r="A1462" t="s">
        <v>320</v>
      </c>
      <c r="B1462" t="s">
        <v>125</v>
      </c>
    </row>
    <row r="1463" spans="1:2" x14ac:dyDescent="0.25">
      <c r="A1463" t="s">
        <v>321</v>
      </c>
      <c r="B1463" t="s">
        <v>125</v>
      </c>
    </row>
    <row r="1464" spans="1:2" x14ac:dyDescent="0.25">
      <c r="A1464" t="s">
        <v>322</v>
      </c>
      <c r="B1464" t="s">
        <v>125</v>
      </c>
    </row>
    <row r="1465" spans="1:2" x14ac:dyDescent="0.25">
      <c r="A1465" t="s">
        <v>1519</v>
      </c>
      <c r="B1465" t="s">
        <v>125</v>
      </c>
    </row>
    <row r="1466" spans="1:2" x14ac:dyDescent="0.25">
      <c r="A1466" t="s">
        <v>325</v>
      </c>
      <c r="B1466" t="s">
        <v>125</v>
      </c>
    </row>
    <row r="1467" spans="1:2" x14ac:dyDescent="0.25">
      <c r="A1467" t="s">
        <v>326</v>
      </c>
      <c r="B1467" t="s">
        <v>125</v>
      </c>
    </row>
    <row r="1468" spans="1:2" x14ac:dyDescent="0.25">
      <c r="A1468" t="s">
        <v>1520</v>
      </c>
      <c r="B1468" t="s">
        <v>125</v>
      </c>
    </row>
    <row r="1469" spans="1:2" x14ac:dyDescent="0.25">
      <c r="A1469" t="s">
        <v>329</v>
      </c>
      <c r="B1469" t="s">
        <v>125</v>
      </c>
    </row>
    <row r="1470" spans="1:2" x14ac:dyDescent="0.25">
      <c r="A1470" t="s">
        <v>1521</v>
      </c>
      <c r="B1470" t="s">
        <v>125</v>
      </c>
    </row>
    <row r="1471" spans="1:2" x14ac:dyDescent="0.25">
      <c r="A1471" t="s">
        <v>202</v>
      </c>
      <c r="B1471" t="s">
        <v>125</v>
      </c>
    </row>
    <row r="1472" spans="1:2" x14ac:dyDescent="0.25">
      <c r="A1472" t="s">
        <v>1522</v>
      </c>
      <c r="B1472" t="s">
        <v>125</v>
      </c>
    </row>
    <row r="1473" spans="1:2" x14ac:dyDescent="0.25">
      <c r="A1473" t="s">
        <v>680</v>
      </c>
      <c r="B1473" t="s">
        <v>125</v>
      </c>
    </row>
    <row r="1474" spans="1:2" x14ac:dyDescent="0.25">
      <c r="A1474" t="s">
        <v>681</v>
      </c>
      <c r="B1474" t="s">
        <v>125</v>
      </c>
    </row>
    <row r="1475" spans="1:2" x14ac:dyDescent="0.25">
      <c r="A1475" t="s">
        <v>682</v>
      </c>
      <c r="B1475" t="s">
        <v>125</v>
      </c>
    </row>
    <row r="1476" spans="1:2" x14ac:dyDescent="0.25">
      <c r="A1476" t="s">
        <v>683</v>
      </c>
      <c r="B1476" t="s">
        <v>125</v>
      </c>
    </row>
    <row r="1477" spans="1:2" x14ac:dyDescent="0.25">
      <c r="A1477" t="s">
        <v>1523</v>
      </c>
      <c r="B1477" t="s">
        <v>125</v>
      </c>
    </row>
    <row r="1478" spans="1:2" x14ac:dyDescent="0.25">
      <c r="A1478" t="s">
        <v>1524</v>
      </c>
      <c r="B1478" t="s">
        <v>125</v>
      </c>
    </row>
    <row r="1479" spans="1:2" x14ac:dyDescent="0.25">
      <c r="A1479" t="s">
        <v>1525</v>
      </c>
      <c r="B1479" t="s">
        <v>125</v>
      </c>
    </row>
    <row r="1480" spans="1:2" x14ac:dyDescent="0.25">
      <c r="A1480" t="s">
        <v>1526</v>
      </c>
      <c r="B1480" t="s">
        <v>125</v>
      </c>
    </row>
    <row r="1481" spans="1:2" x14ac:dyDescent="0.25">
      <c r="A1481" t="s">
        <v>1527</v>
      </c>
      <c r="B1481" t="s">
        <v>125</v>
      </c>
    </row>
    <row r="1482" spans="1:2" x14ac:dyDescent="0.25">
      <c r="A1482" t="s">
        <v>1528</v>
      </c>
      <c r="B1482" t="s">
        <v>125</v>
      </c>
    </row>
    <row r="1483" spans="1:2" x14ac:dyDescent="0.25">
      <c r="A1483" t="s">
        <v>691</v>
      </c>
      <c r="B1483" t="s">
        <v>125</v>
      </c>
    </row>
    <row r="1484" spans="1:2" x14ac:dyDescent="0.25">
      <c r="A1484" t="s">
        <v>692</v>
      </c>
      <c r="B1484" t="s">
        <v>125</v>
      </c>
    </row>
    <row r="1485" spans="1:2" x14ac:dyDescent="0.25">
      <c r="A1485" t="s">
        <v>693</v>
      </c>
      <c r="B1485" t="s">
        <v>125</v>
      </c>
    </row>
    <row r="1486" spans="1:2" x14ac:dyDescent="0.25">
      <c r="A1486" t="s">
        <v>1529</v>
      </c>
      <c r="B1486" t="s">
        <v>125</v>
      </c>
    </row>
    <row r="1487" spans="1:2" x14ac:dyDescent="0.25">
      <c r="A1487" t="s">
        <v>1530</v>
      </c>
      <c r="B1487" t="s">
        <v>125</v>
      </c>
    </row>
    <row r="1488" spans="1:2" x14ac:dyDescent="0.25">
      <c r="A1488" t="s">
        <v>1531</v>
      </c>
      <c r="B1488" t="s">
        <v>125</v>
      </c>
    </row>
    <row r="1489" spans="1:2" x14ac:dyDescent="0.25">
      <c r="A1489" t="s">
        <v>1532</v>
      </c>
      <c r="B1489" t="s">
        <v>125</v>
      </c>
    </row>
    <row r="1490" spans="1:2" x14ac:dyDescent="0.25">
      <c r="A1490" t="s">
        <v>1533</v>
      </c>
      <c r="B1490" t="s">
        <v>125</v>
      </c>
    </row>
    <row r="1491" spans="1:2" x14ac:dyDescent="0.25">
      <c r="A1491" t="s">
        <v>1534</v>
      </c>
      <c r="B1491" t="s">
        <v>125</v>
      </c>
    </row>
    <row r="1492" spans="1:2" x14ac:dyDescent="0.25">
      <c r="A1492" t="s">
        <v>701</v>
      </c>
      <c r="B1492" t="s">
        <v>125</v>
      </c>
    </row>
    <row r="1493" spans="1:2" x14ac:dyDescent="0.25">
      <c r="A1493" t="s">
        <v>702</v>
      </c>
      <c r="B1493" t="s">
        <v>125</v>
      </c>
    </row>
    <row r="1494" spans="1:2" x14ac:dyDescent="0.25">
      <c r="A1494" t="s">
        <v>1535</v>
      </c>
      <c r="B1494" t="s">
        <v>125</v>
      </c>
    </row>
    <row r="1495" spans="1:2" x14ac:dyDescent="0.25">
      <c r="A1495" t="s">
        <v>1536</v>
      </c>
      <c r="B1495" t="s">
        <v>125</v>
      </c>
    </row>
    <row r="1496" spans="1:2" x14ac:dyDescent="0.25">
      <c r="A1496" t="s">
        <v>1537</v>
      </c>
      <c r="B1496" t="s">
        <v>125</v>
      </c>
    </row>
    <row r="1497" spans="1:2" x14ac:dyDescent="0.25">
      <c r="A1497" t="s">
        <v>1538</v>
      </c>
      <c r="B1497" t="s">
        <v>125</v>
      </c>
    </row>
    <row r="1498" spans="1:2" x14ac:dyDescent="0.25">
      <c r="A1498" t="s">
        <v>1539</v>
      </c>
      <c r="B1498" t="s">
        <v>125</v>
      </c>
    </row>
    <row r="1499" spans="1:2" x14ac:dyDescent="0.25">
      <c r="A1499" t="s">
        <v>709</v>
      </c>
      <c r="B1499" t="s">
        <v>125</v>
      </c>
    </row>
    <row r="1500" spans="1:2" x14ac:dyDescent="0.25">
      <c r="A1500" t="s">
        <v>1540</v>
      </c>
      <c r="B1500" t="s">
        <v>125</v>
      </c>
    </row>
    <row r="1501" spans="1:2" x14ac:dyDescent="0.25">
      <c r="A1501" t="s">
        <v>1541</v>
      </c>
      <c r="B1501" t="s">
        <v>125</v>
      </c>
    </row>
    <row r="1502" spans="1:2" x14ac:dyDescent="0.25">
      <c r="A1502" t="s">
        <v>204</v>
      </c>
      <c r="B1502" t="s">
        <v>125</v>
      </c>
    </row>
    <row r="1503" spans="1:2" x14ac:dyDescent="0.25">
      <c r="A1503" t="s">
        <v>1542</v>
      </c>
      <c r="B1503" t="s">
        <v>125</v>
      </c>
    </row>
    <row r="1504" spans="1:2" x14ac:dyDescent="0.25">
      <c r="A1504" t="s">
        <v>1543</v>
      </c>
      <c r="B1504" t="s">
        <v>125</v>
      </c>
    </row>
    <row r="1505" spans="1:2" x14ac:dyDescent="0.25">
      <c r="A1505" t="s">
        <v>1544</v>
      </c>
      <c r="B1505" t="s">
        <v>125</v>
      </c>
    </row>
    <row r="1506" spans="1:2" x14ac:dyDescent="0.25">
      <c r="A1506" t="s">
        <v>1545</v>
      </c>
      <c r="B1506" t="s">
        <v>125</v>
      </c>
    </row>
    <row r="1507" spans="1:2" x14ac:dyDescent="0.25">
      <c r="A1507" t="s">
        <v>1546</v>
      </c>
      <c r="B1507" t="s">
        <v>125</v>
      </c>
    </row>
    <row r="1508" spans="1:2" x14ac:dyDescent="0.25">
      <c r="A1508" t="s">
        <v>720</v>
      </c>
      <c r="B1508" t="s">
        <v>125</v>
      </c>
    </row>
    <row r="1509" spans="1:2" x14ac:dyDescent="0.25">
      <c r="A1509" t="s">
        <v>721</v>
      </c>
      <c r="B1509" t="s">
        <v>125</v>
      </c>
    </row>
    <row r="1510" spans="1:2" x14ac:dyDescent="0.25">
      <c r="A1510" t="s">
        <v>722</v>
      </c>
      <c r="B1510" t="s">
        <v>125</v>
      </c>
    </row>
    <row r="1511" spans="1:2" x14ac:dyDescent="0.25">
      <c r="A1511" t="s">
        <v>723</v>
      </c>
      <c r="B1511" t="s">
        <v>125</v>
      </c>
    </row>
    <row r="1512" spans="1:2" x14ac:dyDescent="0.25">
      <c r="A1512" t="s">
        <v>1547</v>
      </c>
      <c r="B1512" t="s">
        <v>125</v>
      </c>
    </row>
    <row r="1513" spans="1:2" x14ac:dyDescent="0.25">
      <c r="A1513" t="s">
        <v>726</v>
      </c>
      <c r="B1513" t="s">
        <v>125</v>
      </c>
    </row>
    <row r="1514" spans="1:2" x14ac:dyDescent="0.25">
      <c r="A1514" t="s">
        <v>727</v>
      </c>
      <c r="B1514" t="s">
        <v>125</v>
      </c>
    </row>
    <row r="1515" spans="1:2" x14ac:dyDescent="0.25">
      <c r="A1515" t="s">
        <v>728</v>
      </c>
      <c r="B1515" t="s">
        <v>125</v>
      </c>
    </row>
    <row r="1516" spans="1:2" x14ac:dyDescent="0.25">
      <c r="A1516" t="s">
        <v>1548</v>
      </c>
      <c r="B1516" t="s">
        <v>125</v>
      </c>
    </row>
    <row r="1517" spans="1:2" x14ac:dyDescent="0.25">
      <c r="A1517" t="s">
        <v>731</v>
      </c>
      <c r="B1517" t="s">
        <v>125</v>
      </c>
    </row>
    <row r="1518" spans="1:2" x14ac:dyDescent="0.25">
      <c r="A1518" t="s">
        <v>732</v>
      </c>
      <c r="B1518" t="s">
        <v>125</v>
      </c>
    </row>
    <row r="1519" spans="1:2" x14ac:dyDescent="0.25">
      <c r="A1519" t="s">
        <v>1549</v>
      </c>
      <c r="B1519" t="s">
        <v>125</v>
      </c>
    </row>
    <row r="1520" spans="1:2" x14ac:dyDescent="0.25">
      <c r="A1520" t="s">
        <v>735</v>
      </c>
      <c r="B1520" t="s">
        <v>125</v>
      </c>
    </row>
    <row r="1521" spans="1:2" x14ac:dyDescent="0.25">
      <c r="A1521" t="s">
        <v>1550</v>
      </c>
      <c r="B1521" t="s">
        <v>125</v>
      </c>
    </row>
    <row r="1522" spans="1:2" x14ac:dyDescent="0.25">
      <c r="A1522" t="s">
        <v>162</v>
      </c>
      <c r="B1522" t="s">
        <v>125</v>
      </c>
    </row>
    <row r="1523" spans="1:2" x14ac:dyDescent="0.25">
      <c r="A1523" t="s">
        <v>1551</v>
      </c>
      <c r="B1523" t="s">
        <v>125</v>
      </c>
    </row>
    <row r="1524" spans="1:2" x14ac:dyDescent="0.25">
      <c r="A1524" t="s">
        <v>744</v>
      </c>
      <c r="B1524" t="s">
        <v>125</v>
      </c>
    </row>
    <row r="1525" spans="1:2" x14ac:dyDescent="0.25">
      <c r="A1525" t="s">
        <v>745</v>
      </c>
      <c r="B1525" t="s">
        <v>125</v>
      </c>
    </row>
    <row r="1526" spans="1:2" x14ac:dyDescent="0.25">
      <c r="A1526" t="s">
        <v>746</v>
      </c>
      <c r="B1526" t="s">
        <v>125</v>
      </c>
    </row>
    <row r="1527" spans="1:2" x14ac:dyDescent="0.25">
      <c r="A1527" t="s">
        <v>747</v>
      </c>
      <c r="B1527" t="s">
        <v>125</v>
      </c>
    </row>
    <row r="1528" spans="1:2" x14ac:dyDescent="0.25">
      <c r="A1528" t="s">
        <v>1552</v>
      </c>
      <c r="B1528" t="s">
        <v>125</v>
      </c>
    </row>
    <row r="1529" spans="1:2" x14ac:dyDescent="0.25">
      <c r="A1529" t="s">
        <v>1553</v>
      </c>
      <c r="B1529" t="s">
        <v>125</v>
      </c>
    </row>
    <row r="1530" spans="1:2" x14ac:dyDescent="0.25">
      <c r="A1530" t="s">
        <v>1554</v>
      </c>
      <c r="B1530" t="s">
        <v>125</v>
      </c>
    </row>
    <row r="1531" spans="1:2" x14ac:dyDescent="0.25">
      <c r="A1531" t="s">
        <v>1555</v>
      </c>
      <c r="B1531" t="s">
        <v>125</v>
      </c>
    </row>
    <row r="1532" spans="1:2" x14ac:dyDescent="0.25">
      <c r="A1532" t="s">
        <v>1556</v>
      </c>
      <c r="B1532" t="s">
        <v>125</v>
      </c>
    </row>
    <row r="1533" spans="1:2" x14ac:dyDescent="0.25">
      <c r="A1533" t="s">
        <v>1557</v>
      </c>
      <c r="B1533" t="s">
        <v>125</v>
      </c>
    </row>
    <row r="1534" spans="1:2" x14ac:dyDescent="0.25">
      <c r="A1534" t="s">
        <v>755</v>
      </c>
      <c r="B1534" t="s">
        <v>125</v>
      </c>
    </row>
    <row r="1535" spans="1:2" x14ac:dyDescent="0.25">
      <c r="A1535" t="s">
        <v>756</v>
      </c>
      <c r="B1535" t="s">
        <v>125</v>
      </c>
    </row>
    <row r="1536" spans="1:2" x14ac:dyDescent="0.25">
      <c r="A1536" t="s">
        <v>757</v>
      </c>
      <c r="B1536" t="s">
        <v>125</v>
      </c>
    </row>
    <row r="1537" spans="1:2" x14ac:dyDescent="0.25">
      <c r="A1537" t="s">
        <v>1558</v>
      </c>
      <c r="B1537" t="s">
        <v>125</v>
      </c>
    </row>
    <row r="1538" spans="1:2" x14ac:dyDescent="0.25">
      <c r="A1538" t="s">
        <v>1559</v>
      </c>
      <c r="B1538" t="s">
        <v>125</v>
      </c>
    </row>
    <row r="1539" spans="1:2" x14ac:dyDescent="0.25">
      <c r="A1539" t="s">
        <v>1560</v>
      </c>
      <c r="B1539" t="s">
        <v>125</v>
      </c>
    </row>
    <row r="1540" spans="1:2" x14ac:dyDescent="0.25">
      <c r="A1540" t="s">
        <v>1561</v>
      </c>
      <c r="B1540" t="s">
        <v>125</v>
      </c>
    </row>
    <row r="1541" spans="1:2" x14ac:dyDescent="0.25">
      <c r="A1541" t="s">
        <v>1562</v>
      </c>
      <c r="B1541" t="s">
        <v>125</v>
      </c>
    </row>
    <row r="1542" spans="1:2" x14ac:dyDescent="0.25">
      <c r="A1542" t="s">
        <v>1563</v>
      </c>
      <c r="B1542" t="s">
        <v>125</v>
      </c>
    </row>
    <row r="1543" spans="1:2" x14ac:dyDescent="0.25">
      <c r="A1543" t="s">
        <v>765</v>
      </c>
      <c r="B1543" t="s">
        <v>125</v>
      </c>
    </row>
    <row r="1544" spans="1:2" x14ac:dyDescent="0.25">
      <c r="A1544" t="s">
        <v>766</v>
      </c>
      <c r="B1544" t="s">
        <v>125</v>
      </c>
    </row>
    <row r="1545" spans="1:2" x14ac:dyDescent="0.25">
      <c r="A1545" t="s">
        <v>1564</v>
      </c>
      <c r="B1545" t="s">
        <v>125</v>
      </c>
    </row>
    <row r="1546" spans="1:2" x14ac:dyDescent="0.25">
      <c r="A1546" t="s">
        <v>1565</v>
      </c>
      <c r="B1546" t="s">
        <v>125</v>
      </c>
    </row>
    <row r="1547" spans="1:2" x14ac:dyDescent="0.25">
      <c r="A1547" t="s">
        <v>1566</v>
      </c>
      <c r="B1547" t="s">
        <v>125</v>
      </c>
    </row>
    <row r="1548" spans="1:2" x14ac:dyDescent="0.25">
      <c r="A1548" t="s">
        <v>1567</v>
      </c>
      <c r="B1548" t="s">
        <v>125</v>
      </c>
    </row>
    <row r="1549" spans="1:2" x14ac:dyDescent="0.25">
      <c r="A1549" t="s">
        <v>1568</v>
      </c>
      <c r="B1549" t="s">
        <v>125</v>
      </c>
    </row>
    <row r="1550" spans="1:2" x14ac:dyDescent="0.25">
      <c r="A1550" t="s">
        <v>773</v>
      </c>
      <c r="B1550" t="s">
        <v>125</v>
      </c>
    </row>
    <row r="1551" spans="1:2" x14ac:dyDescent="0.25">
      <c r="A1551" t="s">
        <v>1569</v>
      </c>
      <c r="B1551" t="s">
        <v>125</v>
      </c>
    </row>
    <row r="1552" spans="1:2" x14ac:dyDescent="0.25">
      <c r="A1552" t="s">
        <v>1570</v>
      </c>
      <c r="B1552" t="s">
        <v>125</v>
      </c>
    </row>
    <row r="1553" spans="1:2" x14ac:dyDescent="0.25">
      <c r="A1553" t="s">
        <v>1571</v>
      </c>
      <c r="B1553" t="s">
        <v>125</v>
      </c>
    </row>
    <row r="1554" spans="1:2" x14ac:dyDescent="0.25">
      <c r="A1554" t="s">
        <v>166</v>
      </c>
      <c r="B1554" t="s">
        <v>125</v>
      </c>
    </row>
    <row r="1555" spans="1:2" x14ac:dyDescent="0.25">
      <c r="A1555" t="s">
        <v>167</v>
      </c>
      <c r="B1555" t="s">
        <v>125</v>
      </c>
    </row>
    <row r="1556" spans="1:2" x14ac:dyDescent="0.25">
      <c r="A1556" t="s">
        <v>168</v>
      </c>
      <c r="B1556" t="s">
        <v>125</v>
      </c>
    </row>
    <row r="1557" spans="1:2" x14ac:dyDescent="0.25">
      <c r="A1557" t="s">
        <v>265</v>
      </c>
      <c r="B1557" t="s">
        <v>125</v>
      </c>
    </row>
    <row r="1558" spans="1:2" x14ac:dyDescent="0.25">
      <c r="A1558" t="s">
        <v>451</v>
      </c>
      <c r="B1558" t="s">
        <v>125</v>
      </c>
    </row>
    <row r="1559" spans="1:2" x14ac:dyDescent="0.25">
      <c r="A1559" t="s">
        <v>433</v>
      </c>
      <c r="B1559" t="s">
        <v>125</v>
      </c>
    </row>
    <row r="1560" spans="1:2" x14ac:dyDescent="0.25">
      <c r="A1560" t="s">
        <v>439</v>
      </c>
      <c r="B1560" t="s">
        <v>125</v>
      </c>
    </row>
    <row r="1561" spans="1:2" x14ac:dyDescent="0.25">
      <c r="A1561" t="s">
        <v>441</v>
      </c>
      <c r="B1561" t="s">
        <v>125</v>
      </c>
    </row>
    <row r="1562" spans="1:2" x14ac:dyDescent="0.25">
      <c r="A1562" t="s">
        <v>447</v>
      </c>
      <c r="B1562" t="s">
        <v>125</v>
      </c>
    </row>
    <row r="1563" spans="1:2" x14ac:dyDescent="0.25">
      <c r="A1563" t="s">
        <v>1572</v>
      </c>
      <c r="B1563" t="s">
        <v>125</v>
      </c>
    </row>
    <row r="1564" spans="1:2" x14ac:dyDescent="0.25">
      <c r="A1564" t="s">
        <v>1573</v>
      </c>
      <c r="B1564" t="s">
        <v>125</v>
      </c>
    </row>
    <row r="1565" spans="1:2" x14ac:dyDescent="0.25">
      <c r="A1565" t="s">
        <v>1574</v>
      </c>
      <c r="B1565" t="s">
        <v>125</v>
      </c>
    </row>
    <row r="1566" spans="1:2" x14ac:dyDescent="0.25">
      <c r="A1566" t="s">
        <v>1575</v>
      </c>
      <c r="B1566" t="s">
        <v>125</v>
      </c>
    </row>
    <row r="1567" spans="1:2" x14ac:dyDescent="0.25">
      <c r="A1567" t="s">
        <v>258</v>
      </c>
      <c r="B1567" t="s">
        <v>125</v>
      </c>
    </row>
    <row r="1568" spans="1:2" x14ac:dyDescent="0.25">
      <c r="A1568" t="s">
        <v>262</v>
      </c>
      <c r="B1568" t="s">
        <v>125</v>
      </c>
    </row>
    <row r="1569" spans="1:2" x14ac:dyDescent="0.25">
      <c r="A1569" t="s">
        <v>208</v>
      </c>
      <c r="B1569" t="s">
        <v>125</v>
      </c>
    </row>
    <row r="1570" spans="1:2" x14ac:dyDescent="0.25">
      <c r="A1570" t="s">
        <v>270</v>
      </c>
      <c r="B1570" t="s">
        <v>125</v>
      </c>
    </row>
    <row r="1571" spans="1:2" x14ac:dyDescent="0.25">
      <c r="A1571" t="s">
        <v>1576</v>
      </c>
      <c r="B1571" t="s">
        <v>125</v>
      </c>
    </row>
    <row r="1572" spans="1:2" x14ac:dyDescent="0.25">
      <c r="A1572" t="s">
        <v>449</v>
      </c>
      <c r="B1572" t="s">
        <v>125</v>
      </c>
    </row>
    <row r="1573" spans="1:2" x14ac:dyDescent="0.25">
      <c r="A1573" t="s">
        <v>591</v>
      </c>
      <c r="B1573" t="s">
        <v>125</v>
      </c>
    </row>
    <row r="1574" spans="1:2" x14ac:dyDescent="0.25">
      <c r="A1574" t="s">
        <v>592</v>
      </c>
      <c r="B1574" t="s">
        <v>125</v>
      </c>
    </row>
    <row r="1575" spans="1:2" x14ac:dyDescent="0.25">
      <c r="A1575" t="s">
        <v>600</v>
      </c>
      <c r="B1575" t="s">
        <v>125</v>
      </c>
    </row>
    <row r="1576" spans="1:2" x14ac:dyDescent="0.25">
      <c r="A1576" t="s">
        <v>601</v>
      </c>
      <c r="B1576" t="s">
        <v>125</v>
      </c>
    </row>
    <row r="1577" spans="1:2" x14ac:dyDescent="0.25">
      <c r="A1577" t="s">
        <v>602</v>
      </c>
      <c r="B1577" t="s">
        <v>125</v>
      </c>
    </row>
    <row r="1578" spans="1:2" x14ac:dyDescent="0.25">
      <c r="A1578" t="s">
        <v>673</v>
      </c>
      <c r="B1578" t="s">
        <v>125</v>
      </c>
    </row>
    <row r="1579" spans="1:2" x14ac:dyDescent="0.25">
      <c r="A1579" t="s">
        <v>450</v>
      </c>
      <c r="B1579" t="s">
        <v>125</v>
      </c>
    </row>
    <row r="1580" spans="1:2" x14ac:dyDescent="0.25">
      <c r="A1580" t="s">
        <v>1577</v>
      </c>
      <c r="B1580" t="s">
        <v>125</v>
      </c>
    </row>
    <row r="1581" spans="1:2" x14ac:dyDescent="0.25">
      <c r="A1581" t="s">
        <v>1578</v>
      </c>
      <c r="B1581" t="s">
        <v>125</v>
      </c>
    </row>
    <row r="1582" spans="1:2" x14ac:dyDescent="0.25">
      <c r="A1582" t="s">
        <v>1579</v>
      </c>
      <c r="B1582" t="s">
        <v>125</v>
      </c>
    </row>
    <row r="1583" spans="1:2" x14ac:dyDescent="0.25">
      <c r="A1583" t="s">
        <v>1580</v>
      </c>
      <c r="B1583" t="s">
        <v>125</v>
      </c>
    </row>
    <row r="1584" spans="1:2" x14ac:dyDescent="0.25">
      <c r="A1584" t="s">
        <v>1581</v>
      </c>
      <c r="B1584" t="s">
        <v>125</v>
      </c>
    </row>
    <row r="1585" spans="1:2" x14ac:dyDescent="0.25">
      <c r="A1585" t="s">
        <v>1582</v>
      </c>
      <c r="B1585" t="s">
        <v>125</v>
      </c>
    </row>
    <row r="1586" spans="1:2" x14ac:dyDescent="0.25">
      <c r="A1586" t="s">
        <v>1583</v>
      </c>
      <c r="B1586" t="s">
        <v>125</v>
      </c>
    </row>
    <row r="1587" spans="1:2" x14ac:dyDescent="0.25">
      <c r="A1587" t="s">
        <v>1584</v>
      </c>
      <c r="B1587" t="s">
        <v>125</v>
      </c>
    </row>
    <row r="1588" spans="1:2" x14ac:dyDescent="0.25">
      <c r="A1588" t="s">
        <v>1585</v>
      </c>
      <c r="B1588" t="s">
        <v>125</v>
      </c>
    </row>
    <row r="1589" spans="1:2" x14ac:dyDescent="0.25">
      <c r="A1589" t="s">
        <v>1586</v>
      </c>
      <c r="B1589" t="s">
        <v>125</v>
      </c>
    </row>
    <row r="1590" spans="1:2" x14ac:dyDescent="0.25">
      <c r="A1590" t="s">
        <v>1587</v>
      </c>
      <c r="B1590" t="s">
        <v>125</v>
      </c>
    </row>
    <row r="1591" spans="1:2" x14ac:dyDescent="0.25">
      <c r="A1591" t="s">
        <v>219</v>
      </c>
      <c r="B1591" t="s">
        <v>125</v>
      </c>
    </row>
    <row r="1592" spans="1:2" x14ac:dyDescent="0.25">
      <c r="A1592" t="s">
        <v>220</v>
      </c>
      <c r="B1592" t="s">
        <v>125</v>
      </c>
    </row>
    <row r="1593" spans="1:2" x14ac:dyDescent="0.25">
      <c r="A1593" t="s">
        <v>1588</v>
      </c>
      <c r="B1593" t="s">
        <v>125</v>
      </c>
    </row>
    <row r="1594" spans="1:2" x14ac:dyDescent="0.25">
      <c r="A1594" t="s">
        <v>1589</v>
      </c>
      <c r="B1594" t="s">
        <v>125</v>
      </c>
    </row>
    <row r="1595" spans="1:2" x14ac:dyDescent="0.25">
      <c r="A1595" t="s">
        <v>1590</v>
      </c>
      <c r="B1595" t="s">
        <v>125</v>
      </c>
    </row>
    <row r="1596" spans="1:2" x14ac:dyDescent="0.25">
      <c r="A1596" t="s">
        <v>1591</v>
      </c>
      <c r="B1596" t="s">
        <v>125</v>
      </c>
    </row>
    <row r="1597" spans="1:2" x14ac:dyDescent="0.25">
      <c r="A1597" t="s">
        <v>1592</v>
      </c>
      <c r="B1597" t="s">
        <v>125</v>
      </c>
    </row>
    <row r="1598" spans="1:2" x14ac:dyDescent="0.25">
      <c r="A1598" t="s">
        <v>1593</v>
      </c>
      <c r="B1598" t="s">
        <v>125</v>
      </c>
    </row>
    <row r="1599" spans="1:2" x14ac:dyDescent="0.25">
      <c r="A1599" t="s">
        <v>740</v>
      </c>
      <c r="B1599" t="s">
        <v>125</v>
      </c>
    </row>
    <row r="1600" spans="1:2" x14ac:dyDescent="0.25">
      <c r="A1600" t="s">
        <v>676</v>
      </c>
      <c r="B1600" t="s">
        <v>125</v>
      </c>
    </row>
    <row r="1601" spans="1:2" x14ac:dyDescent="0.25">
      <c r="A1601" t="s">
        <v>213</v>
      </c>
      <c r="B1601" t="s">
        <v>125</v>
      </c>
    </row>
    <row r="1602" spans="1:2" x14ac:dyDescent="0.25">
      <c r="A1602" t="s">
        <v>268</v>
      </c>
      <c r="B1602" t="s">
        <v>125</v>
      </c>
    </row>
    <row r="1603" spans="1:2" x14ac:dyDescent="0.25">
      <c r="A1603" t="s">
        <v>335</v>
      </c>
      <c r="B1603" t="s">
        <v>125</v>
      </c>
    </row>
    <row r="1604" spans="1:2" x14ac:dyDescent="0.25">
      <c r="A1604" t="s">
        <v>336</v>
      </c>
      <c r="B1604" t="s">
        <v>125</v>
      </c>
    </row>
    <row r="1605" spans="1:2" x14ac:dyDescent="0.25">
      <c r="A1605" t="s">
        <v>352</v>
      </c>
      <c r="B1605" t="s">
        <v>125</v>
      </c>
    </row>
    <row r="1606" spans="1:2" x14ac:dyDescent="0.25">
      <c r="A1606" t="s">
        <v>430</v>
      </c>
      <c r="B1606" t="s">
        <v>125</v>
      </c>
    </row>
    <row r="1607" spans="1:2" x14ac:dyDescent="0.25">
      <c r="A1607" t="s">
        <v>431</v>
      </c>
      <c r="B1607" t="s">
        <v>125</v>
      </c>
    </row>
    <row r="1608" spans="1:2" x14ac:dyDescent="0.25">
      <c r="A1608" t="s">
        <v>432</v>
      </c>
      <c r="B1608" t="s">
        <v>125</v>
      </c>
    </row>
    <row r="1609" spans="1:2" x14ac:dyDescent="0.25">
      <c r="A1609" t="s">
        <v>593</v>
      </c>
      <c r="B1609" t="s">
        <v>125</v>
      </c>
    </row>
    <row r="1610" spans="1:2" x14ac:dyDescent="0.25">
      <c r="A1610" t="s">
        <v>1594</v>
      </c>
      <c r="B1610" t="s">
        <v>125</v>
      </c>
    </row>
    <row r="1611" spans="1:2" x14ac:dyDescent="0.25">
      <c r="A1611" t="s">
        <v>594</v>
      </c>
      <c r="B1611" t="s">
        <v>125</v>
      </c>
    </row>
    <row r="1612" spans="1:2" x14ac:dyDescent="0.25">
      <c r="A1612" t="s">
        <v>599</v>
      </c>
      <c r="B1612" t="s">
        <v>125</v>
      </c>
    </row>
    <row r="1613" spans="1:2" x14ac:dyDescent="0.25">
      <c r="A1613" t="s">
        <v>674</v>
      </c>
      <c r="B1613" t="s">
        <v>125</v>
      </c>
    </row>
    <row r="1614" spans="1:2" x14ac:dyDescent="0.25">
      <c r="A1614" t="s">
        <v>675</v>
      </c>
      <c r="B1614" t="s">
        <v>125</v>
      </c>
    </row>
    <row r="1615" spans="1:2" x14ac:dyDescent="0.25">
      <c r="A1615" t="s">
        <v>804</v>
      </c>
      <c r="B1615" t="s">
        <v>125</v>
      </c>
    </row>
    <row r="1616" spans="1:2" x14ac:dyDescent="0.25">
      <c r="A1616" t="s">
        <v>1595</v>
      </c>
      <c r="B1616" t="s">
        <v>125</v>
      </c>
    </row>
    <row r="1617" spans="1:2" x14ac:dyDescent="0.25">
      <c r="A1617" t="s">
        <v>1596</v>
      </c>
      <c r="B1617" t="s">
        <v>125</v>
      </c>
    </row>
    <row r="1618" spans="1:2" x14ac:dyDescent="0.25">
      <c r="A1618" t="s">
        <v>1597</v>
      </c>
      <c r="B1618" t="s">
        <v>125</v>
      </c>
    </row>
    <row r="1619" spans="1:2" x14ac:dyDescent="0.25">
      <c r="A1619" t="s">
        <v>1598</v>
      </c>
      <c r="B1619" t="s">
        <v>125</v>
      </c>
    </row>
    <row r="1620" spans="1:2" x14ac:dyDescent="0.25">
      <c r="A1620" t="s">
        <v>1599</v>
      </c>
      <c r="B1620" t="s">
        <v>125</v>
      </c>
    </row>
    <row r="1621" spans="1:2" x14ac:dyDescent="0.25">
      <c r="A1621" t="s">
        <v>1600</v>
      </c>
      <c r="B1621" t="s">
        <v>125</v>
      </c>
    </row>
    <row r="1622" spans="1:2" x14ac:dyDescent="0.25">
      <c r="A1622" t="s">
        <v>1601</v>
      </c>
      <c r="B1622" t="s">
        <v>125</v>
      </c>
    </row>
    <row r="1623" spans="1:2" x14ac:dyDescent="0.25">
      <c r="A1623" t="s">
        <v>1602</v>
      </c>
      <c r="B1623" t="s">
        <v>125</v>
      </c>
    </row>
    <row r="1624" spans="1:2" x14ac:dyDescent="0.25">
      <c r="A1624" t="s">
        <v>223</v>
      </c>
      <c r="B1624" t="s">
        <v>125</v>
      </c>
    </row>
    <row r="1625" spans="1:2" x14ac:dyDescent="0.25">
      <c r="A1625" t="s">
        <v>228</v>
      </c>
      <c r="B1625" t="s">
        <v>125</v>
      </c>
    </row>
    <row r="1626" spans="1:2" x14ac:dyDescent="0.25">
      <c r="A1626" t="s">
        <v>232</v>
      </c>
      <c r="B1626" t="s">
        <v>125</v>
      </c>
    </row>
    <row r="1627" spans="1:2" x14ac:dyDescent="0.25">
      <c r="A1627" t="s">
        <v>234</v>
      </c>
      <c r="B1627" t="s">
        <v>125</v>
      </c>
    </row>
    <row r="1628" spans="1:2" x14ac:dyDescent="0.25">
      <c r="A1628" t="s">
        <v>238</v>
      </c>
      <c r="B1628" t="s">
        <v>125</v>
      </c>
    </row>
    <row r="1629" spans="1:2" x14ac:dyDescent="0.25">
      <c r="A1629" t="s">
        <v>240</v>
      </c>
      <c r="B1629" t="s">
        <v>125</v>
      </c>
    </row>
    <row r="1630" spans="1:2" x14ac:dyDescent="0.25">
      <c r="A1630" t="s">
        <v>241</v>
      </c>
      <c r="B1630" t="s">
        <v>125</v>
      </c>
    </row>
    <row r="1631" spans="1:2" x14ac:dyDescent="0.25">
      <c r="A1631" t="s">
        <v>246</v>
      </c>
      <c r="B1631" t="s">
        <v>125</v>
      </c>
    </row>
    <row r="1632" spans="1:2" x14ac:dyDescent="0.25">
      <c r="A1632" t="s">
        <v>250</v>
      </c>
      <c r="B1632" t="s">
        <v>125</v>
      </c>
    </row>
    <row r="1633" spans="1:2" x14ac:dyDescent="0.25">
      <c r="A1633" t="s">
        <v>252</v>
      </c>
      <c r="B1633" t="s">
        <v>125</v>
      </c>
    </row>
    <row r="1634" spans="1:2" x14ac:dyDescent="0.25">
      <c r="A1634" t="s">
        <v>255</v>
      </c>
      <c r="B1634" t="s">
        <v>125</v>
      </c>
    </row>
    <row r="1635" spans="1:2" x14ac:dyDescent="0.25">
      <c r="A1635" t="s">
        <v>257</v>
      </c>
      <c r="B1635" t="s">
        <v>125</v>
      </c>
    </row>
    <row r="1636" spans="1:2" x14ac:dyDescent="0.25">
      <c r="A1636" t="s">
        <v>422</v>
      </c>
      <c r="B1636" t="s">
        <v>125</v>
      </c>
    </row>
    <row r="1637" spans="1:2" x14ac:dyDescent="0.25">
      <c r="A1637" t="s">
        <v>423</v>
      </c>
      <c r="B1637" t="s">
        <v>125</v>
      </c>
    </row>
    <row r="1638" spans="1:2" x14ac:dyDescent="0.25">
      <c r="A1638" t="s">
        <v>424</v>
      </c>
      <c r="B1638" t="s">
        <v>125</v>
      </c>
    </row>
    <row r="1639" spans="1:2" x14ac:dyDescent="0.25">
      <c r="A1639" t="s">
        <v>425</v>
      </c>
      <c r="B1639" t="s">
        <v>125</v>
      </c>
    </row>
    <row r="1640" spans="1:2" x14ac:dyDescent="0.25">
      <c r="A1640" t="s">
        <v>426</v>
      </c>
      <c r="B1640" t="s">
        <v>125</v>
      </c>
    </row>
    <row r="1641" spans="1:2" x14ac:dyDescent="0.25">
      <c r="A1641" t="s">
        <v>427</v>
      </c>
      <c r="B1641" t="s">
        <v>125</v>
      </c>
    </row>
    <row r="1642" spans="1:2" x14ac:dyDescent="0.25">
      <c r="A1642" t="s">
        <v>428</v>
      </c>
      <c r="B1642" t="s">
        <v>125</v>
      </c>
    </row>
    <row r="1643" spans="1:2" x14ac:dyDescent="0.25">
      <c r="A1643" t="s">
        <v>429</v>
      </c>
      <c r="B1643" t="s">
        <v>125</v>
      </c>
    </row>
    <row r="1644" spans="1:2" x14ac:dyDescent="0.25">
      <c r="A1644" t="s">
        <v>463</v>
      </c>
      <c r="B1644" t="s">
        <v>125</v>
      </c>
    </row>
    <row r="1645" spans="1:2" x14ac:dyDescent="0.25">
      <c r="A1645" t="s">
        <v>470</v>
      </c>
      <c r="B1645" t="s">
        <v>125</v>
      </c>
    </row>
    <row r="1646" spans="1:2" x14ac:dyDescent="0.25">
      <c r="A1646" t="s">
        <v>472</v>
      </c>
      <c r="B1646" t="s">
        <v>125</v>
      </c>
    </row>
    <row r="1647" spans="1:2" x14ac:dyDescent="0.25">
      <c r="A1647" t="s">
        <v>188</v>
      </c>
      <c r="B1647" t="s">
        <v>125</v>
      </c>
    </row>
    <row r="1648" spans="1:2" x14ac:dyDescent="0.25">
      <c r="A1648" t="s">
        <v>190</v>
      </c>
      <c r="B1648" t="s">
        <v>125</v>
      </c>
    </row>
    <row r="1649" spans="1:2" x14ac:dyDescent="0.25">
      <c r="A1649" t="s">
        <v>186</v>
      </c>
      <c r="B1649" t="s">
        <v>125</v>
      </c>
    </row>
    <row r="1650" spans="1:2" x14ac:dyDescent="0.25">
      <c r="A1650" t="s">
        <v>191</v>
      </c>
      <c r="B1650" t="s">
        <v>125</v>
      </c>
    </row>
    <row r="1651" spans="1:2" x14ac:dyDescent="0.25">
      <c r="A1651" t="s">
        <v>504</v>
      </c>
      <c r="B1651" t="s">
        <v>125</v>
      </c>
    </row>
    <row r="1652" spans="1:2" x14ac:dyDescent="0.25">
      <c r="A1652" t="s">
        <v>505</v>
      </c>
      <c r="B1652" t="s">
        <v>125</v>
      </c>
    </row>
    <row r="1653" spans="1:2" x14ac:dyDescent="0.25">
      <c r="A1653" t="s">
        <v>506</v>
      </c>
      <c r="B1653" t="s">
        <v>125</v>
      </c>
    </row>
    <row r="1654" spans="1:2" x14ac:dyDescent="0.25">
      <c r="A1654" t="s">
        <v>511</v>
      </c>
      <c r="B1654" t="s">
        <v>125</v>
      </c>
    </row>
    <row r="1655" spans="1:2" x14ac:dyDescent="0.25">
      <c r="A1655" t="s">
        <v>515</v>
      </c>
      <c r="B1655" t="s">
        <v>125</v>
      </c>
    </row>
    <row r="1656" spans="1:2" x14ac:dyDescent="0.25">
      <c r="A1656" t="s">
        <v>518</v>
      </c>
      <c r="B1656" t="s">
        <v>125</v>
      </c>
    </row>
    <row r="1657" spans="1:2" x14ac:dyDescent="0.25">
      <c r="A1657" t="s">
        <v>520</v>
      </c>
      <c r="B1657" t="s">
        <v>125</v>
      </c>
    </row>
    <row r="1658" spans="1:2" x14ac:dyDescent="0.25">
      <c r="A1658" t="s">
        <v>359</v>
      </c>
      <c r="B1658" t="s">
        <v>125</v>
      </c>
    </row>
    <row r="1659" spans="1:2" x14ac:dyDescent="0.25">
      <c r="A1659" t="s">
        <v>366</v>
      </c>
      <c r="B1659" t="s">
        <v>125</v>
      </c>
    </row>
    <row r="1660" spans="1:2" x14ac:dyDescent="0.25">
      <c r="A1660" t="s">
        <v>368</v>
      </c>
      <c r="B1660" t="s">
        <v>125</v>
      </c>
    </row>
    <row r="1661" spans="1:2" x14ac:dyDescent="0.25">
      <c r="A1661" t="s">
        <v>378</v>
      </c>
      <c r="B1661" t="s">
        <v>125</v>
      </c>
    </row>
    <row r="1662" spans="1:2" x14ac:dyDescent="0.25">
      <c r="A1662" t="s">
        <v>386</v>
      </c>
      <c r="B1662" t="s">
        <v>125</v>
      </c>
    </row>
    <row r="1663" spans="1:2" x14ac:dyDescent="0.25">
      <c r="A1663" t="s">
        <v>392</v>
      </c>
      <c r="B1663" t="s">
        <v>125</v>
      </c>
    </row>
    <row r="1664" spans="1:2" x14ac:dyDescent="0.25">
      <c r="A1664" t="s">
        <v>396</v>
      </c>
      <c r="B1664" t="s">
        <v>125</v>
      </c>
    </row>
    <row r="1665" spans="1:2" x14ac:dyDescent="0.25">
      <c r="A1665" t="s">
        <v>404</v>
      </c>
      <c r="B1665" t="s">
        <v>125</v>
      </c>
    </row>
    <row r="1666" spans="1:2" x14ac:dyDescent="0.25">
      <c r="A1666" t="s">
        <v>405</v>
      </c>
      <c r="B1666" t="s">
        <v>125</v>
      </c>
    </row>
    <row r="1667" spans="1:2" x14ac:dyDescent="0.25">
      <c r="A1667" t="s">
        <v>406</v>
      </c>
      <c r="B1667" t="s">
        <v>125</v>
      </c>
    </row>
    <row r="1668" spans="1:2" x14ac:dyDescent="0.25">
      <c r="A1668" t="s">
        <v>411</v>
      </c>
      <c r="B1668" t="s">
        <v>125</v>
      </c>
    </row>
    <row r="1669" spans="1:2" x14ac:dyDescent="0.25">
      <c r="A1669" t="s">
        <v>415</v>
      </c>
      <c r="B1669" t="s">
        <v>125</v>
      </c>
    </row>
    <row r="1670" spans="1:2" x14ac:dyDescent="0.25">
      <c r="A1670" t="s">
        <v>418</v>
      </c>
      <c r="B1670" t="s">
        <v>125</v>
      </c>
    </row>
    <row r="1671" spans="1:2" x14ac:dyDescent="0.25">
      <c r="A1671" t="s">
        <v>420</v>
      </c>
      <c r="B1671" t="s">
        <v>125</v>
      </c>
    </row>
    <row r="1672" spans="1:2" x14ac:dyDescent="0.25">
      <c r="A1672" t="s">
        <v>613</v>
      </c>
      <c r="B1672" t="s">
        <v>125</v>
      </c>
    </row>
    <row r="1673" spans="1:2" x14ac:dyDescent="0.25">
      <c r="A1673" t="s">
        <v>618</v>
      </c>
      <c r="B1673" t="s">
        <v>125</v>
      </c>
    </row>
    <row r="1674" spans="1:2" x14ac:dyDescent="0.25">
      <c r="A1674" t="s">
        <v>619</v>
      </c>
      <c r="B1674" t="s">
        <v>125</v>
      </c>
    </row>
    <row r="1675" spans="1:2" x14ac:dyDescent="0.25">
      <c r="A1675" t="s">
        <v>629</v>
      </c>
      <c r="B1675" t="s">
        <v>125</v>
      </c>
    </row>
    <row r="1676" spans="1:2" x14ac:dyDescent="0.25">
      <c r="A1676" t="s">
        <v>637</v>
      </c>
      <c r="B1676" t="s">
        <v>125</v>
      </c>
    </row>
    <row r="1677" spans="1:2" x14ac:dyDescent="0.25">
      <c r="A1677" t="s">
        <v>643</v>
      </c>
      <c r="B1677" t="s">
        <v>125</v>
      </c>
    </row>
    <row r="1678" spans="1:2" x14ac:dyDescent="0.25">
      <c r="A1678" t="s">
        <v>647</v>
      </c>
      <c r="B1678" t="s">
        <v>125</v>
      </c>
    </row>
    <row r="1679" spans="1:2" x14ac:dyDescent="0.25">
      <c r="A1679" t="s">
        <v>655</v>
      </c>
      <c r="B1679" t="s">
        <v>125</v>
      </c>
    </row>
    <row r="1680" spans="1:2" x14ac:dyDescent="0.25">
      <c r="A1680" t="s">
        <v>656</v>
      </c>
      <c r="B1680" t="s">
        <v>125</v>
      </c>
    </row>
    <row r="1681" spans="1:2" x14ac:dyDescent="0.25">
      <c r="A1681" t="s">
        <v>657</v>
      </c>
      <c r="B1681" t="s">
        <v>125</v>
      </c>
    </row>
    <row r="1682" spans="1:2" x14ac:dyDescent="0.25">
      <c r="A1682" t="s">
        <v>662</v>
      </c>
      <c r="B1682" t="s">
        <v>125</v>
      </c>
    </row>
    <row r="1683" spans="1:2" x14ac:dyDescent="0.25">
      <c r="A1683" t="s">
        <v>666</v>
      </c>
      <c r="B1683" t="s">
        <v>125</v>
      </c>
    </row>
    <row r="1684" spans="1:2" x14ac:dyDescent="0.25">
      <c r="A1684" t="s">
        <v>669</v>
      </c>
      <c r="B1684" t="s">
        <v>125</v>
      </c>
    </row>
    <row r="1685" spans="1:2" x14ac:dyDescent="0.25">
      <c r="A1685" t="s">
        <v>671</v>
      </c>
      <c r="B1685" t="s">
        <v>125</v>
      </c>
    </row>
    <row r="1686" spans="1:2" x14ac:dyDescent="0.25">
      <c r="A1686" t="s">
        <v>531</v>
      </c>
      <c r="B1686" t="s">
        <v>125</v>
      </c>
    </row>
    <row r="1687" spans="1:2" x14ac:dyDescent="0.25">
      <c r="A1687" t="s">
        <v>536</v>
      </c>
      <c r="B1687" t="s">
        <v>125</v>
      </c>
    </row>
    <row r="1688" spans="1:2" x14ac:dyDescent="0.25">
      <c r="A1688" t="s">
        <v>537</v>
      </c>
      <c r="B1688" t="s">
        <v>125</v>
      </c>
    </row>
    <row r="1689" spans="1:2" x14ac:dyDescent="0.25">
      <c r="A1689" t="s">
        <v>547</v>
      </c>
      <c r="B1689" t="s">
        <v>125</v>
      </c>
    </row>
    <row r="1690" spans="1:2" x14ac:dyDescent="0.25">
      <c r="A1690" t="s">
        <v>555</v>
      </c>
      <c r="B1690" t="s">
        <v>125</v>
      </c>
    </row>
    <row r="1691" spans="1:2" x14ac:dyDescent="0.25">
      <c r="A1691" t="s">
        <v>561</v>
      </c>
      <c r="B1691" t="s">
        <v>125</v>
      </c>
    </row>
    <row r="1692" spans="1:2" x14ac:dyDescent="0.25">
      <c r="A1692" t="s">
        <v>565</v>
      </c>
      <c r="B1692" t="s">
        <v>125</v>
      </c>
    </row>
    <row r="1693" spans="1:2" x14ac:dyDescent="0.25">
      <c r="A1693" t="s">
        <v>573</v>
      </c>
      <c r="B1693" t="s">
        <v>125</v>
      </c>
    </row>
    <row r="1694" spans="1:2" x14ac:dyDescent="0.25">
      <c r="A1694" t="s">
        <v>574</v>
      </c>
      <c r="B1694" t="s">
        <v>125</v>
      </c>
    </row>
    <row r="1695" spans="1:2" x14ac:dyDescent="0.25">
      <c r="A1695" t="s">
        <v>575</v>
      </c>
      <c r="B1695" t="s">
        <v>125</v>
      </c>
    </row>
    <row r="1696" spans="1:2" x14ac:dyDescent="0.25">
      <c r="A1696" t="s">
        <v>580</v>
      </c>
      <c r="B1696" t="s">
        <v>125</v>
      </c>
    </row>
    <row r="1697" spans="1:2" x14ac:dyDescent="0.25">
      <c r="A1697" t="s">
        <v>584</v>
      </c>
      <c r="B1697" t="s">
        <v>125</v>
      </c>
    </row>
    <row r="1698" spans="1:2" x14ac:dyDescent="0.25">
      <c r="A1698" t="s">
        <v>587</v>
      </c>
      <c r="B1698" t="s">
        <v>125</v>
      </c>
    </row>
    <row r="1699" spans="1:2" x14ac:dyDescent="0.25">
      <c r="A1699" t="s">
        <v>589</v>
      </c>
      <c r="B1699" t="s">
        <v>125</v>
      </c>
    </row>
    <row r="1700" spans="1:2" x14ac:dyDescent="0.25">
      <c r="A1700" t="s">
        <v>1603</v>
      </c>
      <c r="B1700" t="s">
        <v>125</v>
      </c>
    </row>
    <row r="1701" spans="1:2" x14ac:dyDescent="0.25">
      <c r="A1701" t="s">
        <v>1604</v>
      </c>
      <c r="B1701" t="s">
        <v>125</v>
      </c>
    </row>
    <row r="1702" spans="1:2" x14ac:dyDescent="0.25">
      <c r="A1702" t="s">
        <v>1605</v>
      </c>
      <c r="B1702" t="s">
        <v>125</v>
      </c>
    </row>
    <row r="1703" spans="1:2" x14ac:dyDescent="0.25">
      <c r="A1703" t="s">
        <v>1606</v>
      </c>
      <c r="B1703" t="s">
        <v>125</v>
      </c>
    </row>
    <row r="1704" spans="1:2" x14ac:dyDescent="0.25">
      <c r="A1704" t="s">
        <v>271</v>
      </c>
      <c r="B1704" t="s">
        <v>125</v>
      </c>
    </row>
    <row r="1705" spans="1:2" x14ac:dyDescent="0.25">
      <c r="A1705" t="s">
        <v>282</v>
      </c>
      <c r="B1705" t="s">
        <v>125</v>
      </c>
    </row>
    <row r="1706" spans="1:2" x14ac:dyDescent="0.25">
      <c r="A1706" t="s">
        <v>292</v>
      </c>
      <c r="B1706" t="s">
        <v>125</v>
      </c>
    </row>
    <row r="1707" spans="1:2" x14ac:dyDescent="0.25">
      <c r="A1707" t="s">
        <v>300</v>
      </c>
      <c r="B1707" t="s">
        <v>125</v>
      </c>
    </row>
    <row r="1708" spans="1:2" x14ac:dyDescent="0.25">
      <c r="A1708" t="s">
        <v>306</v>
      </c>
      <c r="B1708" t="s">
        <v>125</v>
      </c>
    </row>
    <row r="1709" spans="1:2" x14ac:dyDescent="0.25">
      <c r="A1709" t="s">
        <v>310</v>
      </c>
      <c r="B1709" t="s">
        <v>125</v>
      </c>
    </row>
    <row r="1710" spans="1:2" x14ac:dyDescent="0.25">
      <c r="A1710" t="s">
        <v>312</v>
      </c>
      <c r="B1710" t="s">
        <v>125</v>
      </c>
    </row>
    <row r="1711" spans="1:2" x14ac:dyDescent="0.25">
      <c r="A1711" t="s">
        <v>318</v>
      </c>
      <c r="B1711" t="s">
        <v>125</v>
      </c>
    </row>
    <row r="1712" spans="1:2" x14ac:dyDescent="0.25">
      <c r="A1712" t="s">
        <v>323</v>
      </c>
      <c r="B1712" t="s">
        <v>125</v>
      </c>
    </row>
    <row r="1713" spans="1:2" x14ac:dyDescent="0.25">
      <c r="A1713" t="s">
        <v>327</v>
      </c>
      <c r="B1713" t="s">
        <v>125</v>
      </c>
    </row>
    <row r="1714" spans="1:2" x14ac:dyDescent="0.25">
      <c r="A1714" t="s">
        <v>330</v>
      </c>
      <c r="B1714" t="s">
        <v>125</v>
      </c>
    </row>
    <row r="1715" spans="1:2" x14ac:dyDescent="0.25">
      <c r="A1715" t="s">
        <v>332</v>
      </c>
      <c r="B1715" t="s">
        <v>125</v>
      </c>
    </row>
    <row r="1716" spans="1:2" x14ac:dyDescent="0.25">
      <c r="A1716" t="s">
        <v>677</v>
      </c>
      <c r="B1716" t="s">
        <v>125</v>
      </c>
    </row>
    <row r="1717" spans="1:2" x14ac:dyDescent="0.25">
      <c r="A1717" t="s">
        <v>688</v>
      </c>
      <c r="B1717" t="s">
        <v>125</v>
      </c>
    </row>
    <row r="1718" spans="1:2" x14ac:dyDescent="0.25">
      <c r="A1718" t="s">
        <v>698</v>
      </c>
      <c r="B1718" t="s">
        <v>125</v>
      </c>
    </row>
    <row r="1719" spans="1:2" x14ac:dyDescent="0.25">
      <c r="A1719" t="s">
        <v>706</v>
      </c>
      <c r="B1719" t="s">
        <v>125</v>
      </c>
    </row>
    <row r="1720" spans="1:2" x14ac:dyDescent="0.25">
      <c r="A1720" t="s">
        <v>712</v>
      </c>
      <c r="B1720" t="s">
        <v>125</v>
      </c>
    </row>
    <row r="1721" spans="1:2" x14ac:dyDescent="0.25">
      <c r="A1721" t="s">
        <v>716</v>
      </c>
      <c r="B1721" t="s">
        <v>125</v>
      </c>
    </row>
    <row r="1722" spans="1:2" x14ac:dyDescent="0.25">
      <c r="A1722" t="s">
        <v>718</v>
      </c>
      <c r="B1722" t="s">
        <v>125</v>
      </c>
    </row>
    <row r="1723" spans="1:2" x14ac:dyDescent="0.25">
      <c r="A1723" t="s">
        <v>724</v>
      </c>
      <c r="B1723" t="s">
        <v>125</v>
      </c>
    </row>
    <row r="1724" spans="1:2" x14ac:dyDescent="0.25">
      <c r="A1724" t="s">
        <v>729</v>
      </c>
      <c r="B1724" t="s">
        <v>125</v>
      </c>
    </row>
    <row r="1725" spans="1:2" x14ac:dyDescent="0.25">
      <c r="A1725" t="s">
        <v>733</v>
      </c>
      <c r="B1725" t="s">
        <v>125</v>
      </c>
    </row>
    <row r="1726" spans="1:2" x14ac:dyDescent="0.25">
      <c r="A1726" t="s">
        <v>736</v>
      </c>
      <c r="B1726" t="s">
        <v>125</v>
      </c>
    </row>
    <row r="1727" spans="1:2" x14ac:dyDescent="0.25">
      <c r="A1727" t="s">
        <v>738</v>
      </c>
      <c r="B1727" t="s">
        <v>125</v>
      </c>
    </row>
    <row r="1728" spans="1:2" x14ac:dyDescent="0.25">
      <c r="A1728" t="s">
        <v>741</v>
      </c>
      <c r="B1728" t="s">
        <v>125</v>
      </c>
    </row>
    <row r="1729" spans="1:2" x14ac:dyDescent="0.25">
      <c r="A1729" t="s">
        <v>752</v>
      </c>
      <c r="B1729" t="s">
        <v>125</v>
      </c>
    </row>
    <row r="1730" spans="1:2" x14ac:dyDescent="0.25">
      <c r="A1730" t="s">
        <v>762</v>
      </c>
      <c r="B1730" t="s">
        <v>125</v>
      </c>
    </row>
    <row r="1731" spans="1:2" x14ac:dyDescent="0.25">
      <c r="A1731" t="s">
        <v>770</v>
      </c>
      <c r="B1731" t="s">
        <v>125</v>
      </c>
    </row>
    <row r="1732" spans="1:2" x14ac:dyDescent="0.25">
      <c r="A1732" t="s">
        <v>776</v>
      </c>
      <c r="B1732" t="s">
        <v>125</v>
      </c>
    </row>
    <row r="1733" spans="1:2" x14ac:dyDescent="0.25">
      <c r="A1733" t="s">
        <v>780</v>
      </c>
      <c r="B1733" t="s">
        <v>125</v>
      </c>
    </row>
    <row r="1734" spans="1:2" x14ac:dyDescent="0.25">
      <c r="A1734" t="s">
        <v>782</v>
      </c>
      <c r="B1734" t="s">
        <v>125</v>
      </c>
    </row>
    <row r="1735" spans="1:2" x14ac:dyDescent="0.25">
      <c r="A1735" t="s">
        <v>788</v>
      </c>
      <c r="B1735" t="s">
        <v>125</v>
      </c>
    </row>
    <row r="1736" spans="1:2" x14ac:dyDescent="0.25">
      <c r="A1736" t="s">
        <v>793</v>
      </c>
      <c r="B1736" t="s">
        <v>125</v>
      </c>
    </row>
    <row r="1737" spans="1:2" x14ac:dyDescent="0.25">
      <c r="A1737" t="s">
        <v>797</v>
      </c>
      <c r="B1737" t="s">
        <v>125</v>
      </c>
    </row>
    <row r="1738" spans="1:2" x14ac:dyDescent="0.25">
      <c r="A1738" t="s">
        <v>800</v>
      </c>
      <c r="B1738" t="s">
        <v>125</v>
      </c>
    </row>
    <row r="1739" spans="1:2" x14ac:dyDescent="0.25">
      <c r="A1739" t="s">
        <v>802</v>
      </c>
      <c r="B1739" t="s">
        <v>125</v>
      </c>
    </row>
    <row r="1740" spans="1:2" x14ac:dyDescent="0.25">
      <c r="A1740" t="s">
        <v>1607</v>
      </c>
      <c r="B1740" t="s">
        <v>125</v>
      </c>
    </row>
    <row r="1741" spans="1:2" x14ac:dyDescent="0.25">
      <c r="A1741" t="s">
        <v>1608</v>
      </c>
      <c r="B1741" t="s">
        <v>125</v>
      </c>
    </row>
    <row r="1742" spans="1:2" x14ac:dyDescent="0.25">
      <c r="A1742" t="s">
        <v>1609</v>
      </c>
      <c r="B1742" t="s">
        <v>125</v>
      </c>
    </row>
    <row r="1743" spans="1:2" x14ac:dyDescent="0.25">
      <c r="A1743" t="s">
        <v>1610</v>
      </c>
      <c r="B1743" t="s">
        <v>125</v>
      </c>
    </row>
    <row r="1744" spans="1:2" x14ac:dyDescent="0.25">
      <c r="A1744" t="s">
        <v>203</v>
      </c>
      <c r="B1744" t="s">
        <v>125</v>
      </c>
    </row>
    <row r="1745" spans="1:2" x14ac:dyDescent="0.25">
      <c r="A1745" t="s">
        <v>1611</v>
      </c>
      <c r="B1745" t="s">
        <v>125</v>
      </c>
    </row>
    <row r="1746" spans="1:2" x14ac:dyDescent="0.25">
      <c r="A1746" t="s">
        <v>171</v>
      </c>
      <c r="B1746" t="s">
        <v>125</v>
      </c>
    </row>
    <row r="1747" spans="1:2" x14ac:dyDescent="0.25">
      <c r="A1747" t="s">
        <v>1612</v>
      </c>
      <c r="B1747" t="s">
        <v>125</v>
      </c>
    </row>
    <row r="1748" spans="1:2" x14ac:dyDescent="0.25">
      <c r="A1748" t="s">
        <v>1613</v>
      </c>
      <c r="B1748" t="s">
        <v>125</v>
      </c>
    </row>
    <row r="1749" spans="1:2" x14ac:dyDescent="0.25">
      <c r="A1749" t="s">
        <v>434</v>
      </c>
      <c r="B1749" t="s">
        <v>125</v>
      </c>
    </row>
    <row r="1750" spans="1:2" x14ac:dyDescent="0.25">
      <c r="A1750" t="s">
        <v>437</v>
      </c>
      <c r="B1750" t="s">
        <v>125</v>
      </c>
    </row>
    <row r="1751" spans="1:2" x14ac:dyDescent="0.25">
      <c r="A1751" t="s">
        <v>440</v>
      </c>
      <c r="B1751" t="s">
        <v>125</v>
      </c>
    </row>
    <row r="1752" spans="1:2" x14ac:dyDescent="0.25">
      <c r="A1752" t="s">
        <v>452</v>
      </c>
      <c r="B1752" t="s">
        <v>125</v>
      </c>
    </row>
    <row r="1753" spans="1:2" x14ac:dyDescent="0.25">
      <c r="A1753" t="s">
        <v>165</v>
      </c>
      <c r="B1753" t="s">
        <v>125</v>
      </c>
    </row>
    <row r="1754" spans="1:2" x14ac:dyDescent="0.25">
      <c r="A1754" t="s">
        <v>1614</v>
      </c>
      <c r="B1754" t="s">
        <v>125</v>
      </c>
    </row>
    <row r="1755" spans="1:2" x14ac:dyDescent="0.25">
      <c r="A1755" t="s">
        <v>1615</v>
      </c>
      <c r="B1755" t="s">
        <v>125</v>
      </c>
    </row>
    <row r="1756" spans="1:2" x14ac:dyDescent="0.25">
      <c r="A1756" t="s">
        <v>1616</v>
      </c>
      <c r="B1756" t="s">
        <v>125</v>
      </c>
    </row>
    <row r="1757" spans="1:2" x14ac:dyDescent="0.25">
      <c r="A1757" t="s">
        <v>158</v>
      </c>
      <c r="B1757" t="s">
        <v>128</v>
      </c>
    </row>
    <row r="1758" spans="1:2" x14ac:dyDescent="0.25">
      <c r="A1758" t="s">
        <v>157</v>
      </c>
      <c r="B1758" t="s">
        <v>128</v>
      </c>
    </row>
    <row r="1759" spans="1:2" x14ac:dyDescent="0.25">
      <c r="A1759" t="s">
        <v>1292</v>
      </c>
      <c r="B1759" t="s">
        <v>128</v>
      </c>
    </row>
    <row r="1760" spans="1:2" x14ac:dyDescent="0.25">
      <c r="A1760" t="s">
        <v>140</v>
      </c>
      <c r="B1760" t="s">
        <v>128</v>
      </c>
    </row>
    <row r="1761" spans="1:2" x14ac:dyDescent="0.25">
      <c r="A1761" t="s">
        <v>1181</v>
      </c>
      <c r="B1761" t="s">
        <v>128</v>
      </c>
    </row>
    <row r="1762" spans="1:2" x14ac:dyDescent="0.25">
      <c r="A1762" t="s">
        <v>1156</v>
      </c>
      <c r="B1762" t="s">
        <v>128</v>
      </c>
    </row>
    <row r="1763" spans="1:2" x14ac:dyDescent="0.25">
      <c r="A1763" t="s">
        <v>170</v>
      </c>
      <c r="B1763" t="s">
        <v>128</v>
      </c>
    </row>
    <row r="1764" spans="1:2" x14ac:dyDescent="0.25">
      <c r="A1764" t="s">
        <v>1157</v>
      </c>
      <c r="B1764" t="s">
        <v>128</v>
      </c>
    </row>
    <row r="1765" spans="1:2" x14ac:dyDescent="0.25">
      <c r="A1765" t="s">
        <v>1158</v>
      </c>
      <c r="B1765" t="s">
        <v>128</v>
      </c>
    </row>
    <row r="1766" spans="1:2" x14ac:dyDescent="0.25">
      <c r="A1766" t="s">
        <v>1159</v>
      </c>
      <c r="B1766" t="s">
        <v>128</v>
      </c>
    </row>
    <row r="1767" spans="1:2" x14ac:dyDescent="0.25">
      <c r="A1767" t="s">
        <v>1160</v>
      </c>
      <c r="B1767" t="s">
        <v>128</v>
      </c>
    </row>
    <row r="1768" spans="1:2" x14ac:dyDescent="0.25">
      <c r="A1768" t="s">
        <v>1161</v>
      </c>
      <c r="B1768" t="s">
        <v>128</v>
      </c>
    </row>
    <row r="1769" spans="1:2" x14ac:dyDescent="0.25">
      <c r="A1769" t="s">
        <v>1162</v>
      </c>
      <c r="B1769" t="s">
        <v>128</v>
      </c>
    </row>
    <row r="1770" spans="1:2" x14ac:dyDescent="0.25">
      <c r="A1770" t="s">
        <v>1163</v>
      </c>
      <c r="B1770" t="s">
        <v>128</v>
      </c>
    </row>
    <row r="1771" spans="1:2" x14ac:dyDescent="0.25">
      <c r="A1771" t="s">
        <v>1164</v>
      </c>
      <c r="B1771" t="s">
        <v>128</v>
      </c>
    </row>
    <row r="1772" spans="1:2" x14ac:dyDescent="0.25">
      <c r="A1772" t="s">
        <v>1165</v>
      </c>
      <c r="B1772" t="s">
        <v>128</v>
      </c>
    </row>
    <row r="1773" spans="1:2" x14ac:dyDescent="0.25">
      <c r="A1773" t="s">
        <v>1166</v>
      </c>
      <c r="B1773" t="s">
        <v>128</v>
      </c>
    </row>
    <row r="1774" spans="1:2" x14ac:dyDescent="0.25">
      <c r="A1774" t="s">
        <v>1167</v>
      </c>
      <c r="B1774" t="s">
        <v>128</v>
      </c>
    </row>
    <row r="1775" spans="1:2" x14ac:dyDescent="0.25">
      <c r="A1775" t="s">
        <v>1168</v>
      </c>
      <c r="B1775" t="s">
        <v>128</v>
      </c>
    </row>
    <row r="1776" spans="1:2" x14ac:dyDescent="0.25">
      <c r="A1776" t="s">
        <v>1169</v>
      </c>
      <c r="B1776" t="s">
        <v>128</v>
      </c>
    </row>
    <row r="1777" spans="1:2" x14ac:dyDescent="0.25">
      <c r="A1777" t="s">
        <v>1170</v>
      </c>
      <c r="B1777" t="s">
        <v>128</v>
      </c>
    </row>
    <row r="1778" spans="1:2" x14ac:dyDescent="0.25">
      <c r="A1778" t="s">
        <v>1171</v>
      </c>
      <c r="B1778" t="s">
        <v>128</v>
      </c>
    </row>
    <row r="1779" spans="1:2" x14ac:dyDescent="0.25">
      <c r="A1779" t="s">
        <v>1172</v>
      </c>
      <c r="B1779" t="s">
        <v>128</v>
      </c>
    </row>
    <row r="1780" spans="1:2" x14ac:dyDescent="0.25">
      <c r="A1780" t="s">
        <v>1173</v>
      </c>
      <c r="B1780" t="s">
        <v>128</v>
      </c>
    </row>
    <row r="1781" spans="1:2" x14ac:dyDescent="0.25">
      <c r="A1781" t="s">
        <v>1174</v>
      </c>
      <c r="B1781" t="s">
        <v>128</v>
      </c>
    </row>
    <row r="1782" spans="1:2" x14ac:dyDescent="0.25">
      <c r="A1782" t="s">
        <v>1175</v>
      </c>
      <c r="B1782" t="s">
        <v>128</v>
      </c>
    </row>
    <row r="1783" spans="1:2" x14ac:dyDescent="0.25">
      <c r="A1783" t="s">
        <v>1176</v>
      </c>
      <c r="B1783" t="s">
        <v>128</v>
      </c>
    </row>
    <row r="1784" spans="1:2" x14ac:dyDescent="0.25">
      <c r="A1784" t="s">
        <v>1177</v>
      </c>
      <c r="B1784" t="s">
        <v>128</v>
      </c>
    </row>
    <row r="1785" spans="1:2" x14ac:dyDescent="0.25">
      <c r="A1785" t="s">
        <v>1178</v>
      </c>
      <c r="B1785" t="s">
        <v>128</v>
      </c>
    </row>
    <row r="1786" spans="1:2" x14ac:dyDescent="0.25">
      <c r="A1786" t="s">
        <v>1179</v>
      </c>
      <c r="B1786" t="s">
        <v>128</v>
      </c>
    </row>
    <row r="1787" spans="1:2" x14ac:dyDescent="0.25">
      <c r="A1787" t="s">
        <v>1180</v>
      </c>
      <c r="B1787" t="s">
        <v>128</v>
      </c>
    </row>
    <row r="1788" spans="1:2" x14ac:dyDescent="0.25">
      <c r="A1788" t="s">
        <v>1183</v>
      </c>
      <c r="B1788" t="s">
        <v>128</v>
      </c>
    </row>
    <row r="1789" spans="1:2" x14ac:dyDescent="0.25">
      <c r="A1789" t="s">
        <v>1184</v>
      </c>
      <c r="B1789" t="s">
        <v>128</v>
      </c>
    </row>
    <row r="1790" spans="1:2" x14ac:dyDescent="0.25">
      <c r="A1790" t="s">
        <v>1185</v>
      </c>
      <c r="B1790" t="s">
        <v>128</v>
      </c>
    </row>
    <row r="1791" spans="1:2" x14ac:dyDescent="0.25">
      <c r="A1791" t="s">
        <v>1186</v>
      </c>
      <c r="B1791" t="s">
        <v>128</v>
      </c>
    </row>
    <row r="1792" spans="1:2" x14ac:dyDescent="0.25">
      <c r="A1792" t="s">
        <v>1187</v>
      </c>
      <c r="B1792" t="s">
        <v>128</v>
      </c>
    </row>
    <row r="1793" spans="1:2" x14ac:dyDescent="0.25">
      <c r="A1793" t="s">
        <v>1188</v>
      </c>
      <c r="B1793" t="s">
        <v>128</v>
      </c>
    </row>
    <row r="1794" spans="1:2" x14ac:dyDescent="0.25">
      <c r="A1794" t="s">
        <v>1189</v>
      </c>
      <c r="B1794" t="s">
        <v>128</v>
      </c>
    </row>
    <row r="1795" spans="1:2" x14ac:dyDescent="0.25">
      <c r="A1795" t="s">
        <v>1190</v>
      </c>
      <c r="B1795" t="s">
        <v>128</v>
      </c>
    </row>
    <row r="1796" spans="1:2" x14ac:dyDescent="0.25">
      <c r="A1796" t="s">
        <v>1191</v>
      </c>
      <c r="B1796" t="s">
        <v>128</v>
      </c>
    </row>
    <row r="1797" spans="1:2" x14ac:dyDescent="0.25">
      <c r="A1797" t="s">
        <v>1182</v>
      </c>
      <c r="B1797" t="s">
        <v>128</v>
      </c>
    </row>
    <row r="1798" spans="1:2" x14ac:dyDescent="0.25">
      <c r="A1798" t="s">
        <v>1192</v>
      </c>
      <c r="B1798" t="s">
        <v>128</v>
      </c>
    </row>
    <row r="1799" spans="1:2" x14ac:dyDescent="0.25">
      <c r="A1799" t="s">
        <v>1193</v>
      </c>
      <c r="B1799" t="s">
        <v>128</v>
      </c>
    </row>
    <row r="1800" spans="1:2" x14ac:dyDescent="0.25">
      <c r="A1800" t="s">
        <v>1194</v>
      </c>
      <c r="B1800" t="s">
        <v>128</v>
      </c>
    </row>
    <row r="1801" spans="1:2" x14ac:dyDescent="0.25">
      <c r="A1801" t="s">
        <v>1195</v>
      </c>
      <c r="B1801" t="s">
        <v>128</v>
      </c>
    </row>
    <row r="1802" spans="1:2" x14ac:dyDescent="0.25">
      <c r="A1802" t="s">
        <v>1196</v>
      </c>
      <c r="B1802" t="s">
        <v>128</v>
      </c>
    </row>
    <row r="1803" spans="1:2" x14ac:dyDescent="0.25">
      <c r="A1803" t="s">
        <v>172</v>
      </c>
      <c r="B1803" t="s">
        <v>128</v>
      </c>
    </row>
    <row r="1804" spans="1:2" x14ac:dyDescent="0.25">
      <c r="A1804" t="s">
        <v>1197</v>
      </c>
      <c r="B1804" t="s">
        <v>128</v>
      </c>
    </row>
    <row r="1805" spans="1:2" x14ac:dyDescent="0.25">
      <c r="A1805" t="s">
        <v>205</v>
      </c>
      <c r="B1805" t="s">
        <v>128</v>
      </c>
    </row>
    <row r="1806" spans="1:2" x14ac:dyDescent="0.25">
      <c r="A1806" t="s">
        <v>1198</v>
      </c>
      <c r="B1806" t="s">
        <v>128</v>
      </c>
    </row>
    <row r="1807" spans="1:2" x14ac:dyDescent="0.25">
      <c r="A1807" t="s">
        <v>1199</v>
      </c>
      <c r="B1807" t="s">
        <v>128</v>
      </c>
    </row>
    <row r="1808" spans="1:2" x14ac:dyDescent="0.25">
      <c r="A1808" t="s">
        <v>1200</v>
      </c>
      <c r="B1808" t="s">
        <v>128</v>
      </c>
    </row>
    <row r="1809" spans="1:2" x14ac:dyDescent="0.25">
      <c r="A1809" t="s">
        <v>1201</v>
      </c>
      <c r="B1809" t="s">
        <v>128</v>
      </c>
    </row>
    <row r="1810" spans="1:2" x14ac:dyDescent="0.25">
      <c r="A1810" t="s">
        <v>1202</v>
      </c>
      <c r="B1810" t="s">
        <v>128</v>
      </c>
    </row>
    <row r="1811" spans="1:2" x14ac:dyDescent="0.25">
      <c r="A1811" t="s">
        <v>1203</v>
      </c>
      <c r="B1811" t="s">
        <v>128</v>
      </c>
    </row>
    <row r="1812" spans="1:2" x14ac:dyDescent="0.25">
      <c r="A1812" t="s">
        <v>1204</v>
      </c>
      <c r="B1812" t="s">
        <v>128</v>
      </c>
    </row>
    <row r="1813" spans="1:2" x14ac:dyDescent="0.25">
      <c r="A1813" t="s">
        <v>1205</v>
      </c>
      <c r="B1813" t="s">
        <v>128</v>
      </c>
    </row>
    <row r="1814" spans="1:2" x14ac:dyDescent="0.25">
      <c r="A1814" t="s">
        <v>1206</v>
      </c>
      <c r="B1814" t="s">
        <v>128</v>
      </c>
    </row>
    <row r="1815" spans="1:2" x14ac:dyDescent="0.25">
      <c r="A1815" t="s">
        <v>1207</v>
      </c>
      <c r="B1815" t="s">
        <v>128</v>
      </c>
    </row>
    <row r="1816" spans="1:2" x14ac:dyDescent="0.25">
      <c r="A1816" t="s">
        <v>1208</v>
      </c>
      <c r="B1816" t="s">
        <v>128</v>
      </c>
    </row>
    <row r="1817" spans="1:2" x14ac:dyDescent="0.25">
      <c r="A1817" t="s">
        <v>1260</v>
      </c>
      <c r="B1817" t="s">
        <v>128</v>
      </c>
    </row>
    <row r="1818" spans="1:2" x14ac:dyDescent="0.25">
      <c r="A1818" t="s">
        <v>1266</v>
      </c>
      <c r="B1818" t="s">
        <v>128</v>
      </c>
    </row>
    <row r="1819" spans="1:2" x14ac:dyDescent="0.25">
      <c r="A1819" t="s">
        <v>1261</v>
      </c>
      <c r="B1819" t="s">
        <v>128</v>
      </c>
    </row>
    <row r="1820" spans="1:2" x14ac:dyDescent="0.25">
      <c r="A1820" t="s">
        <v>1267</v>
      </c>
      <c r="B1820" t="s">
        <v>128</v>
      </c>
    </row>
    <row r="1821" spans="1:2" x14ac:dyDescent="0.25">
      <c r="A1821" t="s">
        <v>1262</v>
      </c>
      <c r="B1821" t="s">
        <v>128</v>
      </c>
    </row>
    <row r="1822" spans="1:2" x14ac:dyDescent="0.25">
      <c r="A1822" t="s">
        <v>1263</v>
      </c>
      <c r="B1822" t="s">
        <v>128</v>
      </c>
    </row>
    <row r="1823" spans="1:2" x14ac:dyDescent="0.25">
      <c r="A1823" t="s">
        <v>1264</v>
      </c>
      <c r="B1823" t="s">
        <v>128</v>
      </c>
    </row>
    <row r="1824" spans="1:2" x14ac:dyDescent="0.25">
      <c r="A1824" t="s">
        <v>1268</v>
      </c>
      <c r="B1824" t="s">
        <v>128</v>
      </c>
    </row>
    <row r="1825" spans="1:2" x14ac:dyDescent="0.25">
      <c r="A1825" t="s">
        <v>1265</v>
      </c>
      <c r="B1825" t="s">
        <v>128</v>
      </c>
    </row>
    <row r="1826" spans="1:2" x14ac:dyDescent="0.25">
      <c r="A1826" t="s">
        <v>1269</v>
      </c>
      <c r="B1826" t="s">
        <v>128</v>
      </c>
    </row>
    <row r="1827" spans="1:2" x14ac:dyDescent="0.25">
      <c r="A1827" t="s">
        <v>1285</v>
      </c>
      <c r="B1827" t="s">
        <v>128</v>
      </c>
    </row>
    <row r="1828" spans="1:2" x14ac:dyDescent="0.25">
      <c r="A1828" t="s">
        <v>1286</v>
      </c>
      <c r="B1828" t="s">
        <v>128</v>
      </c>
    </row>
    <row r="1829" spans="1:2" x14ac:dyDescent="0.25">
      <c r="A1829" t="s">
        <v>1287</v>
      </c>
      <c r="B1829" t="s">
        <v>128</v>
      </c>
    </row>
    <row r="1830" spans="1:2" x14ac:dyDescent="0.25">
      <c r="A1830" t="s">
        <v>1288</v>
      </c>
      <c r="B1830" t="s">
        <v>128</v>
      </c>
    </row>
    <row r="1831" spans="1:2" x14ac:dyDescent="0.25">
      <c r="A1831" t="s">
        <v>1289</v>
      </c>
      <c r="B1831" t="s">
        <v>128</v>
      </c>
    </row>
    <row r="1832" spans="1:2" x14ac:dyDescent="0.25">
      <c r="A1832" t="s">
        <v>1290</v>
      </c>
      <c r="B1832" t="s">
        <v>128</v>
      </c>
    </row>
    <row r="1833" spans="1:2" x14ac:dyDescent="0.25">
      <c r="A1833" t="s">
        <v>1291</v>
      </c>
      <c r="B1833" t="s">
        <v>128</v>
      </c>
    </row>
    <row r="1834" spans="1:2" x14ac:dyDescent="0.25">
      <c r="A1834" t="s">
        <v>1116</v>
      </c>
      <c r="B1834" t="s">
        <v>128</v>
      </c>
    </row>
    <row r="1835" spans="1:2" x14ac:dyDescent="0.25">
      <c r="A1835" t="s">
        <v>1117</v>
      </c>
      <c r="B1835" t="s">
        <v>128</v>
      </c>
    </row>
    <row r="1836" spans="1:2" x14ac:dyDescent="0.25">
      <c r="A1836" t="s">
        <v>1118</v>
      </c>
      <c r="B1836" t="s">
        <v>128</v>
      </c>
    </row>
    <row r="1837" spans="1:2" x14ac:dyDescent="0.25">
      <c r="A1837" t="s">
        <v>1119</v>
      </c>
      <c r="B1837" t="s">
        <v>128</v>
      </c>
    </row>
    <row r="1838" spans="1:2" x14ac:dyDescent="0.25">
      <c r="A1838" t="s">
        <v>1120</v>
      </c>
      <c r="B1838" t="s">
        <v>128</v>
      </c>
    </row>
    <row r="1839" spans="1:2" x14ac:dyDescent="0.25">
      <c r="A1839" t="s">
        <v>1121</v>
      </c>
      <c r="B1839" t="s">
        <v>128</v>
      </c>
    </row>
    <row r="1840" spans="1:2" x14ac:dyDescent="0.25">
      <c r="A1840" t="s">
        <v>1122</v>
      </c>
      <c r="B1840" t="s">
        <v>128</v>
      </c>
    </row>
    <row r="1841" spans="1:2" x14ac:dyDescent="0.25">
      <c r="A1841" t="s">
        <v>1123</v>
      </c>
      <c r="B1841" t="s">
        <v>128</v>
      </c>
    </row>
    <row r="1842" spans="1:2" x14ac:dyDescent="0.25">
      <c r="A1842" t="s">
        <v>1124</v>
      </c>
      <c r="B1842" t="s">
        <v>128</v>
      </c>
    </row>
    <row r="1843" spans="1:2" x14ac:dyDescent="0.25">
      <c r="A1843" t="s">
        <v>1125</v>
      </c>
      <c r="B1843" t="s">
        <v>128</v>
      </c>
    </row>
    <row r="1844" spans="1:2" x14ac:dyDescent="0.25">
      <c r="A1844" t="s">
        <v>1126</v>
      </c>
      <c r="B1844" t="s">
        <v>128</v>
      </c>
    </row>
    <row r="1845" spans="1:2" x14ac:dyDescent="0.25">
      <c r="A1845" t="s">
        <v>1127</v>
      </c>
      <c r="B1845" t="s">
        <v>128</v>
      </c>
    </row>
    <row r="1846" spans="1:2" x14ac:dyDescent="0.25">
      <c r="A1846" t="s">
        <v>1128</v>
      </c>
      <c r="B1846" t="s">
        <v>128</v>
      </c>
    </row>
    <row r="1847" spans="1:2" x14ac:dyDescent="0.25">
      <c r="A1847" t="s">
        <v>1129</v>
      </c>
      <c r="B1847" t="s">
        <v>128</v>
      </c>
    </row>
    <row r="1848" spans="1:2" x14ac:dyDescent="0.25">
      <c r="A1848" t="s">
        <v>1130</v>
      </c>
      <c r="B1848" t="s">
        <v>128</v>
      </c>
    </row>
    <row r="1849" spans="1:2" x14ac:dyDescent="0.25">
      <c r="A1849" t="s">
        <v>1131</v>
      </c>
      <c r="B1849" t="s">
        <v>128</v>
      </c>
    </row>
    <row r="1850" spans="1:2" x14ac:dyDescent="0.25">
      <c r="A1850" t="s">
        <v>1132</v>
      </c>
      <c r="B1850" t="s">
        <v>128</v>
      </c>
    </row>
    <row r="1851" spans="1:2" x14ac:dyDescent="0.25">
      <c r="A1851" t="s">
        <v>1133</v>
      </c>
      <c r="B1851" t="s">
        <v>128</v>
      </c>
    </row>
    <row r="1852" spans="1:2" x14ac:dyDescent="0.25">
      <c r="A1852" t="s">
        <v>1134</v>
      </c>
      <c r="B1852" t="s">
        <v>128</v>
      </c>
    </row>
    <row r="1853" spans="1:2" x14ac:dyDescent="0.25">
      <c r="A1853" t="s">
        <v>1147</v>
      </c>
      <c r="B1853" t="s">
        <v>128</v>
      </c>
    </row>
    <row r="1854" spans="1:2" x14ac:dyDescent="0.25">
      <c r="A1854" t="s">
        <v>1148</v>
      </c>
      <c r="B1854" t="s">
        <v>128</v>
      </c>
    </row>
    <row r="1855" spans="1:2" x14ac:dyDescent="0.25">
      <c r="A1855" t="s">
        <v>1149</v>
      </c>
      <c r="B1855" t="s">
        <v>128</v>
      </c>
    </row>
    <row r="1856" spans="1:2" x14ac:dyDescent="0.25">
      <c r="A1856" t="s">
        <v>1150</v>
      </c>
      <c r="B1856" t="s">
        <v>128</v>
      </c>
    </row>
    <row r="1857" spans="1:2" x14ac:dyDescent="0.25">
      <c r="A1857" t="s">
        <v>591</v>
      </c>
      <c r="B1857" t="s">
        <v>128</v>
      </c>
    </row>
    <row r="1858" spans="1:2" x14ac:dyDescent="0.25">
      <c r="A1858" t="s">
        <v>999</v>
      </c>
      <c r="B1858" t="s">
        <v>128</v>
      </c>
    </row>
    <row r="1859" spans="1:2" x14ac:dyDescent="0.25">
      <c r="A1859" t="s">
        <v>1151</v>
      </c>
      <c r="B1859" t="s">
        <v>128</v>
      </c>
    </row>
    <row r="1860" spans="1:2" x14ac:dyDescent="0.25">
      <c r="A1860" t="s">
        <v>1152</v>
      </c>
      <c r="B1860" t="s">
        <v>128</v>
      </c>
    </row>
    <row r="1861" spans="1:2" x14ac:dyDescent="0.25">
      <c r="A1861" t="s">
        <v>180</v>
      </c>
      <c r="B1861" t="s">
        <v>128</v>
      </c>
    </row>
    <row r="1862" spans="1:2" x14ac:dyDescent="0.25">
      <c r="A1862" t="s">
        <v>599</v>
      </c>
      <c r="B1862" t="s">
        <v>128</v>
      </c>
    </row>
    <row r="1863" spans="1:2" x14ac:dyDescent="0.25">
      <c r="A1863" t="s">
        <v>1153</v>
      </c>
      <c r="B1863" t="s">
        <v>128</v>
      </c>
    </row>
    <row r="1864" spans="1:2" x14ac:dyDescent="0.25">
      <c r="A1864" t="s">
        <v>169</v>
      </c>
      <c r="B1864" t="s">
        <v>128</v>
      </c>
    </row>
    <row r="1865" spans="1:2" x14ac:dyDescent="0.25">
      <c r="A1865" t="s">
        <v>1617</v>
      </c>
      <c r="B1865" t="s">
        <v>128</v>
      </c>
    </row>
    <row r="1866" spans="1:2" x14ac:dyDescent="0.25">
      <c r="A1866" t="s">
        <v>1155</v>
      </c>
      <c r="B1866" t="s">
        <v>128</v>
      </c>
    </row>
    <row r="1867" spans="1:2" x14ac:dyDescent="0.25">
      <c r="A1867" t="s">
        <v>902</v>
      </c>
      <c r="B1867" t="s">
        <v>128</v>
      </c>
    </row>
    <row r="1868" spans="1:2" x14ac:dyDescent="0.25">
      <c r="A1868" t="s">
        <v>1104</v>
      </c>
      <c r="B1868" t="s">
        <v>128</v>
      </c>
    </row>
    <row r="1869" spans="1:2" x14ac:dyDescent="0.25">
      <c r="A1869" t="s">
        <v>1105</v>
      </c>
      <c r="B1869" t="s">
        <v>128</v>
      </c>
    </row>
    <row r="1870" spans="1:2" x14ac:dyDescent="0.25">
      <c r="A1870" t="s">
        <v>1106</v>
      </c>
      <c r="B1870" t="s">
        <v>128</v>
      </c>
    </row>
    <row r="1871" spans="1:2" x14ac:dyDescent="0.25">
      <c r="A1871" t="s">
        <v>1107</v>
      </c>
      <c r="B1871" t="s">
        <v>128</v>
      </c>
    </row>
    <row r="1872" spans="1:2" x14ac:dyDescent="0.25">
      <c r="A1872" t="s">
        <v>1108</v>
      </c>
      <c r="B1872" t="s">
        <v>128</v>
      </c>
    </row>
    <row r="1873" spans="1:2" x14ac:dyDescent="0.25">
      <c r="A1873" t="s">
        <v>1109</v>
      </c>
      <c r="B1873" t="s">
        <v>128</v>
      </c>
    </row>
    <row r="1874" spans="1:2" x14ac:dyDescent="0.25">
      <c r="A1874" t="s">
        <v>1110</v>
      </c>
      <c r="B1874" t="s">
        <v>128</v>
      </c>
    </row>
    <row r="1875" spans="1:2" x14ac:dyDescent="0.25">
      <c r="A1875" t="s">
        <v>1111</v>
      </c>
      <c r="B1875" t="s">
        <v>128</v>
      </c>
    </row>
    <row r="1876" spans="1:2" x14ac:dyDescent="0.25">
      <c r="A1876" t="s">
        <v>1112</v>
      </c>
      <c r="B1876" t="s">
        <v>128</v>
      </c>
    </row>
    <row r="1877" spans="1:2" x14ac:dyDescent="0.25">
      <c r="A1877" t="s">
        <v>1113</v>
      </c>
      <c r="B1877" t="s">
        <v>128</v>
      </c>
    </row>
    <row r="1878" spans="1:2" x14ac:dyDescent="0.25">
      <c r="A1878" t="s">
        <v>1114</v>
      </c>
      <c r="B1878" t="s">
        <v>128</v>
      </c>
    </row>
    <row r="1879" spans="1:2" x14ac:dyDescent="0.25">
      <c r="A1879" t="s">
        <v>1115</v>
      </c>
      <c r="B1879" t="s">
        <v>128</v>
      </c>
    </row>
    <row r="1880" spans="1:2" x14ac:dyDescent="0.25">
      <c r="A1880" t="s">
        <v>1209</v>
      </c>
      <c r="B1880" t="s">
        <v>128</v>
      </c>
    </row>
    <row r="1881" spans="1:2" x14ac:dyDescent="0.25">
      <c r="A1881" t="s">
        <v>1210</v>
      </c>
      <c r="B1881" t="s">
        <v>128</v>
      </c>
    </row>
    <row r="1882" spans="1:2" x14ac:dyDescent="0.25">
      <c r="A1882" t="s">
        <v>1211</v>
      </c>
      <c r="B1882" t="s">
        <v>128</v>
      </c>
    </row>
    <row r="1883" spans="1:2" x14ac:dyDescent="0.25">
      <c r="A1883" t="s">
        <v>1212</v>
      </c>
      <c r="B1883" t="s">
        <v>128</v>
      </c>
    </row>
    <row r="1884" spans="1:2" x14ac:dyDescent="0.25">
      <c r="A1884" t="s">
        <v>1213</v>
      </c>
      <c r="B1884" t="s">
        <v>128</v>
      </c>
    </row>
    <row r="1885" spans="1:2" x14ac:dyDescent="0.25">
      <c r="A1885" t="s">
        <v>1214</v>
      </c>
      <c r="B1885" t="s">
        <v>128</v>
      </c>
    </row>
    <row r="1886" spans="1:2" x14ac:dyDescent="0.25">
      <c r="A1886" t="s">
        <v>1215</v>
      </c>
      <c r="B1886" t="s">
        <v>128</v>
      </c>
    </row>
    <row r="1887" spans="1:2" x14ac:dyDescent="0.25">
      <c r="A1887" t="s">
        <v>1216</v>
      </c>
      <c r="B1887" t="s">
        <v>128</v>
      </c>
    </row>
    <row r="1888" spans="1:2" x14ac:dyDescent="0.25">
      <c r="A1888" t="s">
        <v>1217</v>
      </c>
      <c r="B1888" t="s">
        <v>128</v>
      </c>
    </row>
    <row r="1889" spans="1:2" x14ac:dyDescent="0.25">
      <c r="A1889" t="s">
        <v>1218</v>
      </c>
      <c r="B1889" t="s">
        <v>128</v>
      </c>
    </row>
    <row r="1890" spans="1:2" x14ac:dyDescent="0.25">
      <c r="A1890" t="s">
        <v>1219</v>
      </c>
      <c r="B1890" t="s">
        <v>128</v>
      </c>
    </row>
    <row r="1891" spans="1:2" x14ac:dyDescent="0.25">
      <c r="A1891" t="s">
        <v>1220</v>
      </c>
      <c r="B1891" t="s">
        <v>128</v>
      </c>
    </row>
    <row r="1892" spans="1:2" x14ac:dyDescent="0.25">
      <c r="A1892" t="s">
        <v>1221</v>
      </c>
      <c r="B1892" t="s">
        <v>128</v>
      </c>
    </row>
    <row r="1893" spans="1:2" x14ac:dyDescent="0.25">
      <c r="A1893" t="s">
        <v>1222</v>
      </c>
      <c r="B1893" t="s">
        <v>128</v>
      </c>
    </row>
    <row r="1894" spans="1:2" x14ac:dyDescent="0.25">
      <c r="A1894" t="s">
        <v>1223</v>
      </c>
      <c r="B1894" t="s">
        <v>128</v>
      </c>
    </row>
    <row r="1895" spans="1:2" x14ac:dyDescent="0.25">
      <c r="A1895" t="s">
        <v>1224</v>
      </c>
      <c r="B1895" t="s">
        <v>128</v>
      </c>
    </row>
    <row r="1896" spans="1:2" x14ac:dyDescent="0.25">
      <c r="A1896" t="s">
        <v>1225</v>
      </c>
      <c r="B1896" t="s">
        <v>128</v>
      </c>
    </row>
    <row r="1897" spans="1:2" x14ac:dyDescent="0.25">
      <c r="A1897" t="s">
        <v>1135</v>
      </c>
      <c r="B1897" t="s">
        <v>128</v>
      </c>
    </row>
    <row r="1898" spans="1:2" x14ac:dyDescent="0.25">
      <c r="A1898" t="s">
        <v>1136</v>
      </c>
      <c r="B1898" t="s">
        <v>128</v>
      </c>
    </row>
    <row r="1899" spans="1:2" x14ac:dyDescent="0.25">
      <c r="A1899" t="s">
        <v>1137</v>
      </c>
      <c r="B1899" t="s">
        <v>128</v>
      </c>
    </row>
    <row r="1900" spans="1:2" x14ac:dyDescent="0.25">
      <c r="A1900" t="s">
        <v>1138</v>
      </c>
      <c r="B1900" t="s">
        <v>128</v>
      </c>
    </row>
    <row r="1901" spans="1:2" x14ac:dyDescent="0.25">
      <c r="A1901" t="s">
        <v>1139</v>
      </c>
      <c r="B1901" t="s">
        <v>128</v>
      </c>
    </row>
    <row r="1902" spans="1:2" x14ac:dyDescent="0.25">
      <c r="A1902" t="s">
        <v>206</v>
      </c>
      <c r="B1902" t="s">
        <v>128</v>
      </c>
    </row>
    <row r="1903" spans="1:2" x14ac:dyDescent="0.25">
      <c r="A1903" t="s">
        <v>207</v>
      </c>
      <c r="B1903" t="s">
        <v>128</v>
      </c>
    </row>
    <row r="1904" spans="1:2" x14ac:dyDescent="0.25">
      <c r="A1904" t="s">
        <v>1618</v>
      </c>
      <c r="B1904" t="s">
        <v>128</v>
      </c>
    </row>
    <row r="1905" spans="1:2" x14ac:dyDescent="0.25">
      <c r="A1905" t="s">
        <v>1619</v>
      </c>
      <c r="B1905" t="s">
        <v>128</v>
      </c>
    </row>
    <row r="1906" spans="1:2" x14ac:dyDescent="0.25">
      <c r="A1906" t="s">
        <v>1143</v>
      </c>
      <c r="B1906" t="s">
        <v>128</v>
      </c>
    </row>
    <row r="1907" spans="1:2" x14ac:dyDescent="0.25">
      <c r="A1907" t="s">
        <v>1144</v>
      </c>
      <c r="B1907" t="s">
        <v>128</v>
      </c>
    </row>
    <row r="1908" spans="1:2" x14ac:dyDescent="0.25">
      <c r="A1908" t="s">
        <v>201</v>
      </c>
      <c r="B1908" t="s">
        <v>128</v>
      </c>
    </row>
    <row r="1909" spans="1:2" x14ac:dyDescent="0.25">
      <c r="A1909" t="s">
        <v>1145</v>
      </c>
      <c r="B1909" t="s">
        <v>128</v>
      </c>
    </row>
    <row r="1910" spans="1:2" x14ac:dyDescent="0.25">
      <c r="A1910" t="s">
        <v>1146</v>
      </c>
      <c r="B1910" t="s">
        <v>128</v>
      </c>
    </row>
    <row r="1911" spans="1:2" x14ac:dyDescent="0.25">
      <c r="A1911" t="s">
        <v>1226</v>
      </c>
      <c r="B1911" t="s">
        <v>128</v>
      </c>
    </row>
    <row r="1912" spans="1:2" x14ac:dyDescent="0.25">
      <c r="A1912" t="s">
        <v>1227</v>
      </c>
      <c r="B1912" t="s">
        <v>128</v>
      </c>
    </row>
    <row r="1913" spans="1:2" x14ac:dyDescent="0.25">
      <c r="A1913" t="s">
        <v>1228</v>
      </c>
      <c r="B1913" t="s">
        <v>128</v>
      </c>
    </row>
    <row r="1914" spans="1:2" x14ac:dyDescent="0.25">
      <c r="A1914" t="s">
        <v>1229</v>
      </c>
      <c r="B1914" t="s">
        <v>128</v>
      </c>
    </row>
    <row r="1915" spans="1:2" x14ac:dyDescent="0.25">
      <c r="A1915" t="s">
        <v>1230</v>
      </c>
      <c r="B1915" t="s">
        <v>128</v>
      </c>
    </row>
    <row r="1916" spans="1:2" x14ac:dyDescent="0.25">
      <c r="A1916" t="s">
        <v>1231</v>
      </c>
      <c r="B1916" t="s">
        <v>128</v>
      </c>
    </row>
    <row r="1917" spans="1:2" x14ac:dyDescent="0.25">
      <c r="A1917" t="s">
        <v>1232</v>
      </c>
      <c r="B1917" t="s">
        <v>128</v>
      </c>
    </row>
    <row r="1918" spans="1:2" x14ac:dyDescent="0.25">
      <c r="A1918" t="s">
        <v>1233</v>
      </c>
      <c r="B1918" t="s">
        <v>128</v>
      </c>
    </row>
    <row r="1919" spans="1:2" x14ac:dyDescent="0.25">
      <c r="A1919" t="s">
        <v>1234</v>
      </c>
      <c r="B1919" t="s">
        <v>128</v>
      </c>
    </row>
    <row r="1920" spans="1:2" x14ac:dyDescent="0.25">
      <c r="A1920" t="s">
        <v>1235</v>
      </c>
      <c r="B1920" t="s">
        <v>128</v>
      </c>
    </row>
    <row r="1921" spans="1:2" x14ac:dyDescent="0.25">
      <c r="A1921" t="s">
        <v>1236</v>
      </c>
      <c r="B1921" t="s">
        <v>128</v>
      </c>
    </row>
    <row r="1922" spans="1:2" x14ac:dyDescent="0.25">
      <c r="A1922" t="s">
        <v>1237</v>
      </c>
      <c r="B1922" t="s">
        <v>128</v>
      </c>
    </row>
    <row r="1923" spans="1:2" x14ac:dyDescent="0.25">
      <c r="A1923" t="s">
        <v>1238</v>
      </c>
      <c r="B1923" t="s">
        <v>128</v>
      </c>
    </row>
    <row r="1924" spans="1:2" x14ac:dyDescent="0.25">
      <c r="A1924" t="s">
        <v>1239</v>
      </c>
      <c r="B1924" t="s">
        <v>128</v>
      </c>
    </row>
    <row r="1925" spans="1:2" x14ac:dyDescent="0.25">
      <c r="A1925" t="s">
        <v>1240</v>
      </c>
      <c r="B1925" t="s">
        <v>128</v>
      </c>
    </row>
    <row r="1926" spans="1:2" x14ac:dyDescent="0.25">
      <c r="A1926" t="s">
        <v>1241</v>
      </c>
      <c r="B1926" t="s">
        <v>128</v>
      </c>
    </row>
    <row r="1927" spans="1:2" x14ac:dyDescent="0.25">
      <c r="A1927" t="s">
        <v>1242</v>
      </c>
      <c r="B1927" t="s">
        <v>128</v>
      </c>
    </row>
    <row r="1928" spans="1:2" x14ac:dyDescent="0.25">
      <c r="A1928" t="s">
        <v>1243</v>
      </c>
      <c r="B1928" t="s">
        <v>128</v>
      </c>
    </row>
    <row r="1929" spans="1:2" x14ac:dyDescent="0.25">
      <c r="A1929" t="s">
        <v>1244</v>
      </c>
      <c r="B1929" t="s">
        <v>128</v>
      </c>
    </row>
    <row r="1930" spans="1:2" x14ac:dyDescent="0.25">
      <c r="A1930" t="s">
        <v>1245</v>
      </c>
      <c r="B1930" t="s">
        <v>128</v>
      </c>
    </row>
    <row r="1931" spans="1:2" x14ac:dyDescent="0.25">
      <c r="A1931" t="s">
        <v>1246</v>
      </c>
      <c r="B1931" t="s">
        <v>128</v>
      </c>
    </row>
    <row r="1932" spans="1:2" x14ac:dyDescent="0.25">
      <c r="A1932" t="s">
        <v>1247</v>
      </c>
      <c r="B1932" t="s">
        <v>128</v>
      </c>
    </row>
    <row r="1933" spans="1:2" x14ac:dyDescent="0.25">
      <c r="A1933" t="s">
        <v>1248</v>
      </c>
      <c r="B1933" t="s">
        <v>128</v>
      </c>
    </row>
    <row r="1934" spans="1:2" x14ac:dyDescent="0.25">
      <c r="A1934" t="s">
        <v>1249</v>
      </c>
      <c r="B1934" t="s">
        <v>128</v>
      </c>
    </row>
    <row r="1935" spans="1:2" x14ac:dyDescent="0.25">
      <c r="A1935" t="s">
        <v>1250</v>
      </c>
      <c r="B1935" t="s">
        <v>128</v>
      </c>
    </row>
    <row r="1936" spans="1:2" x14ac:dyDescent="0.25">
      <c r="A1936" t="s">
        <v>1251</v>
      </c>
      <c r="B1936" t="s">
        <v>128</v>
      </c>
    </row>
    <row r="1937" spans="1:2" x14ac:dyDescent="0.25">
      <c r="A1937" t="s">
        <v>1252</v>
      </c>
      <c r="B1937" t="s">
        <v>128</v>
      </c>
    </row>
    <row r="1938" spans="1:2" x14ac:dyDescent="0.25">
      <c r="A1938" t="s">
        <v>1253</v>
      </c>
      <c r="B1938" t="s">
        <v>128</v>
      </c>
    </row>
    <row r="1939" spans="1:2" x14ac:dyDescent="0.25">
      <c r="A1939" t="s">
        <v>1254</v>
      </c>
      <c r="B1939" t="s">
        <v>128</v>
      </c>
    </row>
    <row r="1940" spans="1:2" x14ac:dyDescent="0.25">
      <c r="A1940" t="s">
        <v>1255</v>
      </c>
      <c r="B1940" t="s">
        <v>128</v>
      </c>
    </row>
    <row r="1941" spans="1:2" x14ac:dyDescent="0.25">
      <c r="A1941" t="s">
        <v>1256</v>
      </c>
      <c r="B1941" t="s">
        <v>128</v>
      </c>
    </row>
    <row r="1942" spans="1:2" x14ac:dyDescent="0.25">
      <c r="A1942" t="s">
        <v>1257</v>
      </c>
      <c r="B1942" t="s">
        <v>128</v>
      </c>
    </row>
    <row r="1943" spans="1:2" x14ac:dyDescent="0.25">
      <c r="A1943" t="s">
        <v>1258</v>
      </c>
      <c r="B1943" t="s">
        <v>128</v>
      </c>
    </row>
    <row r="1944" spans="1:2" x14ac:dyDescent="0.25">
      <c r="A1944" t="s">
        <v>1259</v>
      </c>
      <c r="B1944" t="s">
        <v>128</v>
      </c>
    </row>
    <row r="1945" spans="1:2" x14ac:dyDescent="0.25">
      <c r="A1945" t="s">
        <v>1276</v>
      </c>
      <c r="B1945" t="s">
        <v>128</v>
      </c>
    </row>
    <row r="1946" spans="1:2" x14ac:dyDescent="0.25">
      <c r="A1946" t="s">
        <v>1270</v>
      </c>
      <c r="B1946" t="s">
        <v>128</v>
      </c>
    </row>
    <row r="1947" spans="1:2" x14ac:dyDescent="0.25">
      <c r="A1947" t="s">
        <v>1277</v>
      </c>
      <c r="B1947" t="s">
        <v>128</v>
      </c>
    </row>
    <row r="1948" spans="1:2" x14ac:dyDescent="0.25">
      <c r="A1948" t="s">
        <v>1271</v>
      </c>
      <c r="B1948" t="s">
        <v>128</v>
      </c>
    </row>
    <row r="1949" spans="1:2" x14ac:dyDescent="0.25">
      <c r="A1949" t="s">
        <v>1278</v>
      </c>
      <c r="B1949" t="s">
        <v>128</v>
      </c>
    </row>
    <row r="1950" spans="1:2" x14ac:dyDescent="0.25">
      <c r="A1950" t="s">
        <v>1272</v>
      </c>
      <c r="B1950" t="s">
        <v>128</v>
      </c>
    </row>
    <row r="1951" spans="1:2" x14ac:dyDescent="0.25">
      <c r="A1951" t="s">
        <v>1279</v>
      </c>
      <c r="B1951" t="s">
        <v>128</v>
      </c>
    </row>
    <row r="1952" spans="1:2" x14ac:dyDescent="0.25">
      <c r="A1952" t="s">
        <v>1280</v>
      </c>
      <c r="B1952" t="s">
        <v>128</v>
      </c>
    </row>
    <row r="1953" spans="1:2" x14ac:dyDescent="0.25">
      <c r="A1953" t="s">
        <v>1281</v>
      </c>
      <c r="B1953" t="s">
        <v>128</v>
      </c>
    </row>
    <row r="1954" spans="1:2" x14ac:dyDescent="0.25">
      <c r="A1954" t="s">
        <v>1273</v>
      </c>
      <c r="B1954" t="s">
        <v>128</v>
      </c>
    </row>
    <row r="1955" spans="1:2" x14ac:dyDescent="0.25">
      <c r="A1955" t="s">
        <v>1282</v>
      </c>
      <c r="B1955" t="s">
        <v>128</v>
      </c>
    </row>
    <row r="1956" spans="1:2" x14ac:dyDescent="0.25">
      <c r="A1956" t="s">
        <v>1274</v>
      </c>
      <c r="B1956" t="s">
        <v>128</v>
      </c>
    </row>
    <row r="1957" spans="1:2" x14ac:dyDescent="0.25">
      <c r="A1957" t="s">
        <v>1275</v>
      </c>
      <c r="B1957" t="s">
        <v>128</v>
      </c>
    </row>
    <row r="1958" spans="1:2" x14ac:dyDescent="0.25">
      <c r="A1958" t="s">
        <v>1283</v>
      </c>
      <c r="B1958" t="s">
        <v>128</v>
      </c>
    </row>
    <row r="1959" spans="1:2" x14ac:dyDescent="0.25">
      <c r="A1959" t="s">
        <v>1284</v>
      </c>
      <c r="B1959" t="s">
        <v>128</v>
      </c>
    </row>
    <row r="1960" spans="1:2" x14ac:dyDescent="0.25">
      <c r="A1960" t="s">
        <v>1620</v>
      </c>
      <c r="B1960" t="s">
        <v>128</v>
      </c>
    </row>
    <row r="1961" spans="1:2" x14ac:dyDescent="0.25">
      <c r="A1961" t="s">
        <v>1621</v>
      </c>
      <c r="B1961" t="s">
        <v>128</v>
      </c>
    </row>
    <row r="1962" spans="1:2" x14ac:dyDescent="0.25">
      <c r="A1962" t="s">
        <v>1622</v>
      </c>
      <c r="B1962" t="s">
        <v>128</v>
      </c>
    </row>
    <row r="1963" spans="1:2" x14ac:dyDescent="0.25">
      <c r="A1963" t="s">
        <v>1100</v>
      </c>
      <c r="B1963" t="s">
        <v>127</v>
      </c>
    </row>
    <row r="1964" spans="1:2" x14ac:dyDescent="0.25">
      <c r="A1964" t="s">
        <v>1097</v>
      </c>
      <c r="B1964" t="s">
        <v>126</v>
      </c>
    </row>
    <row r="1965" spans="1:2" x14ac:dyDescent="0.25">
      <c r="A1965" t="s">
        <v>824</v>
      </c>
      <c r="B1965" t="s">
        <v>126</v>
      </c>
    </row>
    <row r="1966" spans="1:2" x14ac:dyDescent="0.25">
      <c r="A1966" t="s">
        <v>825</v>
      </c>
      <c r="B1966" t="s">
        <v>126</v>
      </c>
    </row>
    <row r="1967" spans="1:2" x14ac:dyDescent="0.25">
      <c r="A1967" t="s">
        <v>826</v>
      </c>
      <c r="B1967" t="s">
        <v>126</v>
      </c>
    </row>
    <row r="1968" spans="1:2" x14ac:dyDescent="0.25">
      <c r="A1968" t="s">
        <v>838</v>
      </c>
      <c r="B1968" t="s">
        <v>126</v>
      </c>
    </row>
    <row r="1969" spans="1:2" x14ac:dyDescent="0.25">
      <c r="A1969" t="s">
        <v>848</v>
      </c>
      <c r="B1969" t="s">
        <v>126</v>
      </c>
    </row>
    <row r="1970" spans="1:2" x14ac:dyDescent="0.25">
      <c r="A1970" t="s">
        <v>856</v>
      </c>
      <c r="B1970" t="s">
        <v>126</v>
      </c>
    </row>
    <row r="1971" spans="1:2" x14ac:dyDescent="0.25">
      <c r="A1971" t="s">
        <v>862</v>
      </c>
      <c r="B1971" t="s">
        <v>126</v>
      </c>
    </row>
    <row r="1972" spans="1:2" x14ac:dyDescent="0.25">
      <c r="A1972" t="s">
        <v>866</v>
      </c>
      <c r="B1972" t="s">
        <v>126</v>
      </c>
    </row>
    <row r="1973" spans="1:2" x14ac:dyDescent="0.25">
      <c r="A1973" t="s">
        <v>875</v>
      </c>
      <c r="B1973" t="s">
        <v>126</v>
      </c>
    </row>
    <row r="1974" spans="1:2" x14ac:dyDescent="0.25">
      <c r="A1974" t="s">
        <v>876</v>
      </c>
      <c r="B1974" t="s">
        <v>126</v>
      </c>
    </row>
    <row r="1975" spans="1:2" x14ac:dyDescent="0.25">
      <c r="A1975" t="s">
        <v>877</v>
      </c>
      <c r="B1975" t="s">
        <v>126</v>
      </c>
    </row>
    <row r="1976" spans="1:2" x14ac:dyDescent="0.25">
      <c r="A1976" t="s">
        <v>883</v>
      </c>
      <c r="B1976" t="s">
        <v>126</v>
      </c>
    </row>
    <row r="1977" spans="1:2" x14ac:dyDescent="0.25">
      <c r="A1977" t="s">
        <v>888</v>
      </c>
      <c r="B1977" t="s">
        <v>126</v>
      </c>
    </row>
    <row r="1978" spans="1:2" x14ac:dyDescent="0.25">
      <c r="A1978" t="s">
        <v>892</v>
      </c>
      <c r="B1978" t="s">
        <v>126</v>
      </c>
    </row>
    <row r="1979" spans="1:2" x14ac:dyDescent="0.25">
      <c r="A1979" t="s">
        <v>895</v>
      </c>
      <c r="B1979" t="s">
        <v>126</v>
      </c>
    </row>
    <row r="1980" spans="1:2" x14ac:dyDescent="0.25">
      <c r="A1980" t="s">
        <v>897</v>
      </c>
      <c r="B1980" t="s">
        <v>126</v>
      </c>
    </row>
    <row r="1981" spans="1:2" x14ac:dyDescent="0.25">
      <c r="A1981" t="s">
        <v>1623</v>
      </c>
      <c r="B1981" t="s">
        <v>126</v>
      </c>
    </row>
    <row r="1982" spans="1:2" x14ac:dyDescent="0.25">
      <c r="A1982" t="s">
        <v>1624</v>
      </c>
      <c r="B1982" t="s">
        <v>126</v>
      </c>
    </row>
    <row r="1983" spans="1:2" x14ac:dyDescent="0.25">
      <c r="A1983" t="s">
        <v>997</v>
      </c>
      <c r="B1983" t="s">
        <v>126</v>
      </c>
    </row>
    <row r="1984" spans="1:2" x14ac:dyDescent="0.25">
      <c r="A1984" t="s">
        <v>1625</v>
      </c>
      <c r="B1984" t="s">
        <v>126</v>
      </c>
    </row>
    <row r="1985" spans="1:2" x14ac:dyDescent="0.25">
      <c r="A1985" t="s">
        <v>1626</v>
      </c>
      <c r="B1985" t="s">
        <v>126</v>
      </c>
    </row>
    <row r="1986" spans="1:2" x14ac:dyDescent="0.25">
      <c r="A1986" t="s">
        <v>1627</v>
      </c>
      <c r="B1986" t="s">
        <v>126</v>
      </c>
    </row>
    <row r="1987" spans="1:2" x14ac:dyDescent="0.25">
      <c r="A1987" t="s">
        <v>1628</v>
      </c>
      <c r="B1987" t="s">
        <v>126</v>
      </c>
    </row>
    <row r="1988" spans="1:2" x14ac:dyDescent="0.25">
      <c r="A1988" t="s">
        <v>1629</v>
      </c>
      <c r="B1988" t="s">
        <v>126</v>
      </c>
    </row>
    <row r="1989" spans="1:2" x14ac:dyDescent="0.25">
      <c r="A1989" t="s">
        <v>1630</v>
      </c>
      <c r="B1989" t="s">
        <v>126</v>
      </c>
    </row>
    <row r="1990" spans="1:2" x14ac:dyDescent="0.25">
      <c r="A1990" t="s">
        <v>1631</v>
      </c>
      <c r="B1990" t="s">
        <v>126</v>
      </c>
    </row>
    <row r="1991" spans="1:2" x14ac:dyDescent="0.25">
      <c r="A1991" t="s">
        <v>1632</v>
      </c>
      <c r="B1991" t="s">
        <v>126</v>
      </c>
    </row>
    <row r="1992" spans="1:2" x14ac:dyDescent="0.25">
      <c r="A1992" t="s">
        <v>1001</v>
      </c>
      <c r="B1992" t="s">
        <v>126</v>
      </c>
    </row>
    <row r="1993" spans="1:2" x14ac:dyDescent="0.25">
      <c r="A1993" t="s">
        <v>1633</v>
      </c>
      <c r="B1993" t="s">
        <v>126</v>
      </c>
    </row>
    <row r="1994" spans="1:2" x14ac:dyDescent="0.25">
      <c r="A1994" t="s">
        <v>1008</v>
      </c>
      <c r="B1994" t="s">
        <v>126</v>
      </c>
    </row>
    <row r="1995" spans="1:2" x14ac:dyDescent="0.25">
      <c r="A1995" t="s">
        <v>1634</v>
      </c>
      <c r="B1995" t="s">
        <v>126</v>
      </c>
    </row>
    <row r="1996" spans="1:2" x14ac:dyDescent="0.25">
      <c r="A1996" t="s">
        <v>1635</v>
      </c>
      <c r="B1996" t="s">
        <v>126</v>
      </c>
    </row>
    <row r="1997" spans="1:2" x14ac:dyDescent="0.25">
      <c r="A1997" t="s">
        <v>1636</v>
      </c>
      <c r="B1997" t="s">
        <v>126</v>
      </c>
    </row>
    <row r="1998" spans="1:2" x14ac:dyDescent="0.25">
      <c r="A1998" t="s">
        <v>1637</v>
      </c>
      <c r="B1998" t="s">
        <v>126</v>
      </c>
    </row>
    <row r="1999" spans="1:2" x14ac:dyDescent="0.25">
      <c r="A1999" t="s">
        <v>998</v>
      </c>
      <c r="B1999" t="s">
        <v>126</v>
      </c>
    </row>
    <row r="2000" spans="1:2" x14ac:dyDescent="0.25">
      <c r="A2000" t="s">
        <v>1099</v>
      </c>
      <c r="B2000" t="s">
        <v>126</v>
      </c>
    </row>
    <row r="2001" spans="1:2" x14ac:dyDescent="0.25">
      <c r="A2001" t="s">
        <v>899</v>
      </c>
      <c r="B2001" t="s">
        <v>126</v>
      </c>
    </row>
    <row r="2002" spans="1:2" x14ac:dyDescent="0.25">
      <c r="A2002" t="s">
        <v>1638</v>
      </c>
      <c r="B2002" t="s">
        <v>126</v>
      </c>
    </row>
    <row r="2003" spans="1:2" x14ac:dyDescent="0.25">
      <c r="A2003" t="s">
        <v>1639</v>
      </c>
      <c r="B2003" t="s">
        <v>126</v>
      </c>
    </row>
    <row r="2004" spans="1:2" x14ac:dyDescent="0.25">
      <c r="A2004" t="s">
        <v>922</v>
      </c>
      <c r="B2004" t="s">
        <v>126</v>
      </c>
    </row>
    <row r="2005" spans="1:2" x14ac:dyDescent="0.25">
      <c r="A2005" t="s">
        <v>924</v>
      </c>
      <c r="B2005" t="s">
        <v>126</v>
      </c>
    </row>
    <row r="2006" spans="1:2" x14ac:dyDescent="0.25">
      <c r="A2006" t="s">
        <v>925</v>
      </c>
      <c r="B2006" t="s">
        <v>126</v>
      </c>
    </row>
    <row r="2007" spans="1:2" x14ac:dyDescent="0.25">
      <c r="A2007" t="s">
        <v>937</v>
      </c>
      <c r="B2007" t="s">
        <v>126</v>
      </c>
    </row>
    <row r="2008" spans="1:2" x14ac:dyDescent="0.25">
      <c r="A2008" t="s">
        <v>947</v>
      </c>
      <c r="B2008" t="s">
        <v>126</v>
      </c>
    </row>
    <row r="2009" spans="1:2" x14ac:dyDescent="0.25">
      <c r="A2009" t="s">
        <v>955</v>
      </c>
      <c r="B2009" t="s">
        <v>126</v>
      </c>
    </row>
    <row r="2010" spans="1:2" x14ac:dyDescent="0.25">
      <c r="A2010" t="s">
        <v>961</v>
      </c>
      <c r="B2010" t="s">
        <v>126</v>
      </c>
    </row>
    <row r="2011" spans="1:2" x14ac:dyDescent="0.25">
      <c r="A2011" t="s">
        <v>965</v>
      </c>
      <c r="B2011" t="s">
        <v>126</v>
      </c>
    </row>
    <row r="2012" spans="1:2" x14ac:dyDescent="0.25">
      <c r="A2012" t="s">
        <v>974</v>
      </c>
      <c r="B2012" t="s">
        <v>126</v>
      </c>
    </row>
    <row r="2013" spans="1:2" x14ac:dyDescent="0.25">
      <c r="A2013" t="s">
        <v>975</v>
      </c>
      <c r="B2013" t="s">
        <v>126</v>
      </c>
    </row>
    <row r="2014" spans="1:2" x14ac:dyDescent="0.25">
      <c r="A2014" t="s">
        <v>976</v>
      </c>
      <c r="B2014" t="s">
        <v>126</v>
      </c>
    </row>
    <row r="2015" spans="1:2" x14ac:dyDescent="0.25">
      <c r="A2015" t="s">
        <v>982</v>
      </c>
      <c r="B2015" t="s">
        <v>126</v>
      </c>
    </row>
    <row r="2016" spans="1:2" x14ac:dyDescent="0.25">
      <c r="A2016" t="s">
        <v>987</v>
      </c>
      <c r="B2016" t="s">
        <v>126</v>
      </c>
    </row>
    <row r="2017" spans="1:2" x14ac:dyDescent="0.25">
      <c r="A2017" t="s">
        <v>991</v>
      </c>
      <c r="B2017" t="s">
        <v>126</v>
      </c>
    </row>
    <row r="2018" spans="1:2" x14ac:dyDescent="0.25">
      <c r="A2018" t="s">
        <v>994</v>
      </c>
      <c r="B2018" t="s">
        <v>126</v>
      </c>
    </row>
    <row r="2019" spans="1:2" x14ac:dyDescent="0.25">
      <c r="A2019" t="s">
        <v>996</v>
      </c>
      <c r="B2019" t="s">
        <v>126</v>
      </c>
    </row>
    <row r="2020" spans="1:2" x14ac:dyDescent="0.25">
      <c r="A2020" t="s">
        <v>805</v>
      </c>
      <c r="B2020" t="s">
        <v>126</v>
      </c>
    </row>
    <row r="2021" spans="1:2" x14ac:dyDescent="0.25">
      <c r="A2021" t="s">
        <v>806</v>
      </c>
      <c r="B2021" t="s">
        <v>126</v>
      </c>
    </row>
    <row r="2022" spans="1:2" x14ac:dyDescent="0.25">
      <c r="A2022" t="s">
        <v>807</v>
      </c>
      <c r="B2022" t="s">
        <v>126</v>
      </c>
    </row>
    <row r="2023" spans="1:2" x14ac:dyDescent="0.25">
      <c r="A2023" t="s">
        <v>808</v>
      </c>
      <c r="B2023" t="s">
        <v>126</v>
      </c>
    </row>
    <row r="2024" spans="1:2" x14ac:dyDescent="0.25">
      <c r="A2024" t="s">
        <v>900</v>
      </c>
      <c r="B2024" t="s">
        <v>126</v>
      </c>
    </row>
    <row r="2025" spans="1:2" x14ac:dyDescent="0.25">
      <c r="A2025" t="s">
        <v>1640</v>
      </c>
      <c r="B2025" t="s">
        <v>126</v>
      </c>
    </row>
    <row r="2026" spans="1:2" x14ac:dyDescent="0.25">
      <c r="A2026" t="s">
        <v>901</v>
      </c>
      <c r="B2026" t="s">
        <v>126</v>
      </c>
    </row>
    <row r="2027" spans="1:2" x14ac:dyDescent="0.25">
      <c r="A2027" t="s">
        <v>902</v>
      </c>
      <c r="B2027" t="s">
        <v>126</v>
      </c>
    </row>
    <row r="2028" spans="1:2" x14ac:dyDescent="0.25">
      <c r="A2028" t="s">
        <v>904</v>
      </c>
      <c r="B2028" t="s">
        <v>126</v>
      </c>
    </row>
    <row r="2029" spans="1:2" x14ac:dyDescent="0.25">
      <c r="A2029" t="s">
        <v>905</v>
      </c>
      <c r="B2029" t="s">
        <v>126</v>
      </c>
    </row>
    <row r="2030" spans="1:2" x14ac:dyDescent="0.25">
      <c r="A2030" t="s">
        <v>1641</v>
      </c>
      <c r="B2030" t="s">
        <v>126</v>
      </c>
    </row>
    <row r="2031" spans="1:2" x14ac:dyDescent="0.25">
      <c r="A2031" t="s">
        <v>906</v>
      </c>
      <c r="B2031" t="s">
        <v>126</v>
      </c>
    </row>
    <row r="2032" spans="1:2" x14ac:dyDescent="0.25">
      <c r="A2032" t="s">
        <v>903</v>
      </c>
      <c r="B2032" t="s">
        <v>126</v>
      </c>
    </row>
    <row r="2033" spans="1:2" x14ac:dyDescent="0.25">
      <c r="A2033" t="s">
        <v>591</v>
      </c>
      <c r="B2033" t="s">
        <v>126</v>
      </c>
    </row>
    <row r="2034" spans="1:2" x14ac:dyDescent="0.25">
      <c r="A2034" t="s">
        <v>592</v>
      </c>
      <c r="B2034" t="s">
        <v>126</v>
      </c>
    </row>
    <row r="2035" spans="1:2" x14ac:dyDescent="0.25">
      <c r="A2035" t="s">
        <v>999</v>
      </c>
      <c r="B2035" t="s">
        <v>126</v>
      </c>
    </row>
    <row r="2036" spans="1:2" x14ac:dyDescent="0.25">
      <c r="A2036" t="s">
        <v>1642</v>
      </c>
      <c r="B2036" t="s">
        <v>126</v>
      </c>
    </row>
    <row r="2037" spans="1:2" x14ac:dyDescent="0.25">
      <c r="A2037" t="s">
        <v>1023</v>
      </c>
      <c r="B2037" t="s">
        <v>126</v>
      </c>
    </row>
    <row r="2038" spans="1:2" x14ac:dyDescent="0.25">
      <c r="A2038" t="s">
        <v>1025</v>
      </c>
      <c r="B2038" t="s">
        <v>126</v>
      </c>
    </row>
    <row r="2039" spans="1:2" x14ac:dyDescent="0.25">
      <c r="A2039" t="s">
        <v>1026</v>
      </c>
      <c r="B2039" t="s">
        <v>126</v>
      </c>
    </row>
    <row r="2040" spans="1:2" x14ac:dyDescent="0.25">
      <c r="A2040" t="s">
        <v>1038</v>
      </c>
      <c r="B2040" t="s">
        <v>126</v>
      </c>
    </row>
    <row r="2041" spans="1:2" x14ac:dyDescent="0.25">
      <c r="A2041" t="s">
        <v>1048</v>
      </c>
      <c r="B2041" t="s">
        <v>126</v>
      </c>
    </row>
    <row r="2042" spans="1:2" x14ac:dyDescent="0.25">
      <c r="A2042" t="s">
        <v>1056</v>
      </c>
      <c r="B2042" t="s">
        <v>126</v>
      </c>
    </row>
    <row r="2043" spans="1:2" x14ac:dyDescent="0.25">
      <c r="A2043" t="s">
        <v>1062</v>
      </c>
      <c r="B2043" t="s">
        <v>126</v>
      </c>
    </row>
    <row r="2044" spans="1:2" x14ac:dyDescent="0.25">
      <c r="A2044" t="s">
        <v>1066</v>
      </c>
      <c r="B2044" t="s">
        <v>126</v>
      </c>
    </row>
    <row r="2045" spans="1:2" x14ac:dyDescent="0.25">
      <c r="A2045" t="s">
        <v>1075</v>
      </c>
      <c r="B2045" t="s">
        <v>126</v>
      </c>
    </row>
    <row r="2046" spans="1:2" x14ac:dyDescent="0.25">
      <c r="A2046" t="s">
        <v>1076</v>
      </c>
      <c r="B2046" t="s">
        <v>126</v>
      </c>
    </row>
    <row r="2047" spans="1:2" x14ac:dyDescent="0.25">
      <c r="A2047" t="s">
        <v>1077</v>
      </c>
      <c r="B2047" t="s">
        <v>126</v>
      </c>
    </row>
    <row r="2048" spans="1:2" x14ac:dyDescent="0.25">
      <c r="A2048" t="s">
        <v>1083</v>
      </c>
      <c r="B2048" t="s">
        <v>126</v>
      </c>
    </row>
    <row r="2049" spans="1:2" x14ac:dyDescent="0.25">
      <c r="A2049" t="s">
        <v>1088</v>
      </c>
      <c r="B2049" t="s">
        <v>126</v>
      </c>
    </row>
    <row r="2050" spans="1:2" x14ac:dyDescent="0.25">
      <c r="A2050" t="s">
        <v>1092</v>
      </c>
      <c r="B2050" t="s">
        <v>126</v>
      </c>
    </row>
    <row r="2051" spans="1:2" x14ac:dyDescent="0.25">
      <c r="A2051" t="s">
        <v>1095</v>
      </c>
      <c r="B2051" t="s">
        <v>126</v>
      </c>
    </row>
    <row r="2052" spans="1:2" x14ac:dyDescent="0.25">
      <c r="A2052" t="s">
        <v>1643</v>
      </c>
      <c r="B2052" t="s">
        <v>126</v>
      </c>
    </row>
    <row r="2053" spans="1:2" x14ac:dyDescent="0.25">
      <c r="A2053" t="s">
        <v>1644</v>
      </c>
      <c r="B2053" t="s">
        <v>126</v>
      </c>
    </row>
    <row r="2054" spans="1:2" x14ac:dyDescent="0.25">
      <c r="A2054" t="s">
        <v>1645</v>
      </c>
      <c r="B2054" t="s">
        <v>126</v>
      </c>
    </row>
    <row r="2055" spans="1:2" x14ac:dyDescent="0.25">
      <c r="A2055" t="s">
        <v>1646</v>
      </c>
      <c r="B2055" t="s">
        <v>126</v>
      </c>
    </row>
    <row r="2056" spans="1:2" x14ac:dyDescent="0.25">
      <c r="A2056" t="s">
        <v>1647</v>
      </c>
      <c r="B2056" t="s">
        <v>126</v>
      </c>
    </row>
    <row r="2057" spans="1:2" x14ac:dyDescent="0.25">
      <c r="A2057" t="s">
        <v>1648</v>
      </c>
      <c r="B2057" t="s">
        <v>126</v>
      </c>
    </row>
    <row r="2058" spans="1:2" x14ac:dyDescent="0.25">
      <c r="A2058" t="s">
        <v>1649</v>
      </c>
      <c r="B2058" t="s">
        <v>126</v>
      </c>
    </row>
    <row r="2059" spans="1:2" x14ac:dyDescent="0.25">
      <c r="A2059" t="s">
        <v>928</v>
      </c>
      <c r="B2059" t="s">
        <v>126</v>
      </c>
    </row>
    <row r="2060" spans="1:2" x14ac:dyDescent="0.25">
      <c r="A2060" t="s">
        <v>1650</v>
      </c>
      <c r="B2060" t="s">
        <v>126</v>
      </c>
    </row>
    <row r="2061" spans="1:2" x14ac:dyDescent="0.25">
      <c r="A2061" t="s">
        <v>1651</v>
      </c>
      <c r="B2061" t="s">
        <v>126</v>
      </c>
    </row>
    <row r="2062" spans="1:2" x14ac:dyDescent="0.25">
      <c r="A2062" t="s">
        <v>1652</v>
      </c>
      <c r="B2062" t="s">
        <v>126</v>
      </c>
    </row>
    <row r="2063" spans="1:2" x14ac:dyDescent="0.25">
      <c r="A2063" t="s">
        <v>1000</v>
      </c>
      <c r="B2063" t="s">
        <v>126</v>
      </c>
    </row>
    <row r="2064" spans="1:2" x14ac:dyDescent="0.25">
      <c r="A2064" t="s">
        <v>1653</v>
      </c>
      <c r="B2064" t="s">
        <v>126</v>
      </c>
    </row>
    <row r="2065" spans="1:2" x14ac:dyDescent="0.25">
      <c r="A2065" t="s">
        <v>1654</v>
      </c>
      <c r="B2065" t="s">
        <v>126</v>
      </c>
    </row>
    <row r="2066" spans="1:2" x14ac:dyDescent="0.25">
      <c r="A2066" t="s">
        <v>1655</v>
      </c>
      <c r="B2066" t="s">
        <v>126</v>
      </c>
    </row>
    <row r="2067" spans="1:2" x14ac:dyDescent="0.25">
      <c r="A2067" t="s">
        <v>1656</v>
      </c>
      <c r="B2067" t="s">
        <v>126</v>
      </c>
    </row>
    <row r="2068" spans="1:2" x14ac:dyDescent="0.25">
      <c r="A2068" t="s">
        <v>1657</v>
      </c>
      <c r="B2068" t="s">
        <v>126</v>
      </c>
    </row>
    <row r="2069" spans="1:2" x14ac:dyDescent="0.25">
      <c r="A2069" t="s">
        <v>1658</v>
      </c>
      <c r="B2069" t="s">
        <v>126</v>
      </c>
    </row>
    <row r="2070" spans="1:2" x14ac:dyDescent="0.25">
      <c r="A2070" t="s">
        <v>1659</v>
      </c>
      <c r="B2070" t="s">
        <v>126</v>
      </c>
    </row>
    <row r="2071" spans="1:2" x14ac:dyDescent="0.25">
      <c r="A2071" t="s">
        <v>1079</v>
      </c>
      <c r="B2071" t="s">
        <v>126</v>
      </c>
    </row>
    <row r="2072" spans="1:2" x14ac:dyDescent="0.25">
      <c r="A2072" t="s">
        <v>1080</v>
      </c>
      <c r="B2072" t="s">
        <v>126</v>
      </c>
    </row>
    <row r="2073" spans="1:2" x14ac:dyDescent="0.25">
      <c r="A2073" t="s">
        <v>1081</v>
      </c>
      <c r="B2073" t="s">
        <v>126</v>
      </c>
    </row>
    <row r="2074" spans="1:2" x14ac:dyDescent="0.25">
      <c r="A2074" t="s">
        <v>1082</v>
      </c>
      <c r="B2074" t="s">
        <v>126</v>
      </c>
    </row>
    <row r="2075" spans="1:2" x14ac:dyDescent="0.25">
      <c r="A2075" t="s">
        <v>1660</v>
      </c>
      <c r="B2075" t="s">
        <v>126</v>
      </c>
    </row>
    <row r="2076" spans="1:2" x14ac:dyDescent="0.25">
      <c r="A2076" t="s">
        <v>1085</v>
      </c>
      <c r="B2076" t="s">
        <v>126</v>
      </c>
    </row>
    <row r="2077" spans="1:2" x14ac:dyDescent="0.25">
      <c r="A2077" t="s">
        <v>1086</v>
      </c>
      <c r="B2077" t="s">
        <v>126</v>
      </c>
    </row>
    <row r="2078" spans="1:2" x14ac:dyDescent="0.25">
      <c r="A2078" t="s">
        <v>1087</v>
      </c>
      <c r="B2078" t="s">
        <v>126</v>
      </c>
    </row>
    <row r="2079" spans="1:2" x14ac:dyDescent="0.25">
      <c r="A2079" t="s">
        <v>1091</v>
      </c>
      <c r="B2079" t="s">
        <v>126</v>
      </c>
    </row>
    <row r="2080" spans="1:2" x14ac:dyDescent="0.25">
      <c r="A2080" t="s">
        <v>1661</v>
      </c>
      <c r="B2080" t="s">
        <v>126</v>
      </c>
    </row>
    <row r="2081" spans="1:2" x14ac:dyDescent="0.25">
      <c r="A2081" t="s">
        <v>1094</v>
      </c>
      <c r="B2081" t="s">
        <v>126</v>
      </c>
    </row>
    <row r="2082" spans="1:2" x14ac:dyDescent="0.25">
      <c r="A2082" t="s">
        <v>1662</v>
      </c>
      <c r="B2082" t="s">
        <v>126</v>
      </c>
    </row>
    <row r="2083" spans="1:2" x14ac:dyDescent="0.25">
      <c r="A2083" t="s">
        <v>898</v>
      </c>
      <c r="B2083" t="s">
        <v>126</v>
      </c>
    </row>
    <row r="2084" spans="1:2" x14ac:dyDescent="0.25">
      <c r="A2084" t="s">
        <v>1663</v>
      </c>
      <c r="B2084" t="s">
        <v>126</v>
      </c>
    </row>
    <row r="2085" spans="1:2" x14ac:dyDescent="0.25">
      <c r="A2085" t="s">
        <v>1090</v>
      </c>
      <c r="B2085" t="s">
        <v>126</v>
      </c>
    </row>
    <row r="2086" spans="1:2" x14ac:dyDescent="0.25">
      <c r="A2086" t="s">
        <v>1059</v>
      </c>
      <c r="B2086" t="s">
        <v>126</v>
      </c>
    </row>
    <row r="2087" spans="1:2" x14ac:dyDescent="0.25">
      <c r="A2087" t="s">
        <v>1664</v>
      </c>
      <c r="B2087" t="s">
        <v>126</v>
      </c>
    </row>
    <row r="2088" spans="1:2" x14ac:dyDescent="0.25">
      <c r="A2088" t="s">
        <v>1060</v>
      </c>
      <c r="B2088" t="s">
        <v>126</v>
      </c>
    </row>
    <row r="2089" spans="1:2" x14ac:dyDescent="0.25">
      <c r="A2089" t="s">
        <v>1061</v>
      </c>
      <c r="B2089" t="s">
        <v>126</v>
      </c>
    </row>
    <row r="2090" spans="1:2" x14ac:dyDescent="0.25">
      <c r="A2090" t="s">
        <v>1665</v>
      </c>
      <c r="B2090" t="s">
        <v>126</v>
      </c>
    </row>
    <row r="2091" spans="1:2" x14ac:dyDescent="0.25">
      <c r="A2091" t="s">
        <v>1666</v>
      </c>
      <c r="B2091" t="s">
        <v>126</v>
      </c>
    </row>
    <row r="2092" spans="1:2" x14ac:dyDescent="0.25">
      <c r="A2092" t="s">
        <v>1065</v>
      </c>
      <c r="B2092" t="s">
        <v>126</v>
      </c>
    </row>
    <row r="2093" spans="1:2" x14ac:dyDescent="0.25">
      <c r="A2093" t="s">
        <v>1667</v>
      </c>
      <c r="B2093" t="s">
        <v>126</v>
      </c>
    </row>
    <row r="2094" spans="1:2" x14ac:dyDescent="0.25">
      <c r="A2094" t="s">
        <v>1668</v>
      </c>
      <c r="B2094" t="s">
        <v>126</v>
      </c>
    </row>
    <row r="2095" spans="1:2" x14ac:dyDescent="0.25">
      <c r="A2095" t="s">
        <v>1669</v>
      </c>
      <c r="B2095" t="s">
        <v>126</v>
      </c>
    </row>
    <row r="2096" spans="1:2" x14ac:dyDescent="0.25">
      <c r="A2096" t="s">
        <v>1670</v>
      </c>
      <c r="B2096" t="s">
        <v>126</v>
      </c>
    </row>
    <row r="2097" spans="1:2" x14ac:dyDescent="0.25">
      <c r="A2097" t="s">
        <v>1671</v>
      </c>
      <c r="B2097" t="s">
        <v>126</v>
      </c>
    </row>
    <row r="2098" spans="1:2" x14ac:dyDescent="0.25">
      <c r="A2098" t="s">
        <v>1672</v>
      </c>
      <c r="B2098" t="s">
        <v>126</v>
      </c>
    </row>
    <row r="2099" spans="1:2" x14ac:dyDescent="0.25">
      <c r="A2099" t="s">
        <v>1673</v>
      </c>
      <c r="B2099" t="s">
        <v>126</v>
      </c>
    </row>
    <row r="2100" spans="1:2" x14ac:dyDescent="0.25">
      <c r="A2100" t="s">
        <v>929</v>
      </c>
      <c r="B2100" t="s">
        <v>126</v>
      </c>
    </row>
    <row r="2101" spans="1:2" x14ac:dyDescent="0.25">
      <c r="A2101" t="s">
        <v>930</v>
      </c>
      <c r="B2101" t="s">
        <v>126</v>
      </c>
    </row>
    <row r="2102" spans="1:2" x14ac:dyDescent="0.25">
      <c r="A2102" t="s">
        <v>931</v>
      </c>
      <c r="B2102" t="s">
        <v>126</v>
      </c>
    </row>
    <row r="2103" spans="1:2" x14ac:dyDescent="0.25">
      <c r="A2103" t="s">
        <v>1674</v>
      </c>
      <c r="B2103" t="s">
        <v>126</v>
      </c>
    </row>
    <row r="2104" spans="1:2" x14ac:dyDescent="0.25">
      <c r="A2104" t="s">
        <v>932</v>
      </c>
      <c r="B2104" t="s">
        <v>126</v>
      </c>
    </row>
    <row r="2105" spans="1:2" x14ac:dyDescent="0.25">
      <c r="A2105" t="s">
        <v>933</v>
      </c>
      <c r="B2105" t="s">
        <v>126</v>
      </c>
    </row>
    <row r="2106" spans="1:2" x14ac:dyDescent="0.25">
      <c r="A2106" t="s">
        <v>934</v>
      </c>
      <c r="B2106" t="s">
        <v>126</v>
      </c>
    </row>
    <row r="2107" spans="1:2" x14ac:dyDescent="0.25">
      <c r="A2107" t="s">
        <v>935</v>
      </c>
      <c r="B2107" t="s">
        <v>126</v>
      </c>
    </row>
    <row r="2108" spans="1:2" x14ac:dyDescent="0.25">
      <c r="A2108" t="s">
        <v>936</v>
      </c>
      <c r="B2108" t="s">
        <v>126</v>
      </c>
    </row>
    <row r="2109" spans="1:2" x14ac:dyDescent="0.25">
      <c r="A2109" t="s">
        <v>1675</v>
      </c>
      <c r="B2109" t="s">
        <v>126</v>
      </c>
    </row>
    <row r="2110" spans="1:2" x14ac:dyDescent="0.25">
      <c r="A2110" t="s">
        <v>940</v>
      </c>
      <c r="B2110" t="s">
        <v>126</v>
      </c>
    </row>
    <row r="2111" spans="1:2" x14ac:dyDescent="0.25">
      <c r="A2111" t="s">
        <v>941</v>
      </c>
      <c r="B2111" t="s">
        <v>126</v>
      </c>
    </row>
    <row r="2112" spans="1:2" x14ac:dyDescent="0.25">
      <c r="A2112" t="s">
        <v>942</v>
      </c>
      <c r="B2112" t="s">
        <v>126</v>
      </c>
    </row>
    <row r="2113" spans="1:2" x14ac:dyDescent="0.25">
      <c r="A2113" t="s">
        <v>1676</v>
      </c>
      <c r="B2113" t="s">
        <v>126</v>
      </c>
    </row>
    <row r="2114" spans="1:2" x14ac:dyDescent="0.25">
      <c r="A2114" t="s">
        <v>943</v>
      </c>
      <c r="B2114" t="s">
        <v>126</v>
      </c>
    </row>
    <row r="2115" spans="1:2" x14ac:dyDescent="0.25">
      <c r="A2115" t="s">
        <v>944</v>
      </c>
      <c r="B2115" t="s">
        <v>126</v>
      </c>
    </row>
    <row r="2116" spans="1:2" x14ac:dyDescent="0.25">
      <c r="A2116" t="s">
        <v>945</v>
      </c>
      <c r="B2116" t="s">
        <v>126</v>
      </c>
    </row>
    <row r="2117" spans="1:2" x14ac:dyDescent="0.25">
      <c r="A2117" t="s">
        <v>946</v>
      </c>
      <c r="B2117" t="s">
        <v>126</v>
      </c>
    </row>
    <row r="2118" spans="1:2" x14ac:dyDescent="0.25">
      <c r="A2118" t="s">
        <v>1677</v>
      </c>
      <c r="B2118" t="s">
        <v>126</v>
      </c>
    </row>
    <row r="2119" spans="1:2" x14ac:dyDescent="0.25">
      <c r="A2119" t="s">
        <v>950</v>
      </c>
      <c r="B2119" t="s">
        <v>126</v>
      </c>
    </row>
    <row r="2120" spans="1:2" x14ac:dyDescent="0.25">
      <c r="A2120" t="s">
        <v>951</v>
      </c>
      <c r="B2120" t="s">
        <v>126</v>
      </c>
    </row>
    <row r="2121" spans="1:2" x14ac:dyDescent="0.25">
      <c r="A2121" t="s">
        <v>1678</v>
      </c>
      <c r="B2121" t="s">
        <v>126</v>
      </c>
    </row>
    <row r="2122" spans="1:2" x14ac:dyDescent="0.25">
      <c r="A2122" t="s">
        <v>952</v>
      </c>
      <c r="B2122" t="s">
        <v>126</v>
      </c>
    </row>
    <row r="2123" spans="1:2" x14ac:dyDescent="0.25">
      <c r="A2123" t="s">
        <v>953</v>
      </c>
      <c r="B2123" t="s">
        <v>126</v>
      </c>
    </row>
    <row r="2124" spans="1:2" x14ac:dyDescent="0.25">
      <c r="A2124" t="s">
        <v>954</v>
      </c>
      <c r="B2124" t="s">
        <v>126</v>
      </c>
    </row>
    <row r="2125" spans="1:2" x14ac:dyDescent="0.25">
      <c r="A2125" t="s">
        <v>1679</v>
      </c>
      <c r="B2125" t="s">
        <v>126</v>
      </c>
    </row>
    <row r="2126" spans="1:2" x14ac:dyDescent="0.25">
      <c r="A2126" t="s">
        <v>1680</v>
      </c>
      <c r="B2126" t="s">
        <v>126</v>
      </c>
    </row>
    <row r="2127" spans="1:2" x14ac:dyDescent="0.25">
      <c r="A2127" t="s">
        <v>958</v>
      </c>
      <c r="B2127" t="s">
        <v>126</v>
      </c>
    </row>
    <row r="2128" spans="1:2" x14ac:dyDescent="0.25">
      <c r="A2128" t="s">
        <v>1681</v>
      </c>
      <c r="B2128" t="s">
        <v>126</v>
      </c>
    </row>
    <row r="2129" spans="1:2" x14ac:dyDescent="0.25">
      <c r="A2129" t="s">
        <v>1682</v>
      </c>
      <c r="B2129" t="s">
        <v>126</v>
      </c>
    </row>
    <row r="2130" spans="1:2" x14ac:dyDescent="0.25">
      <c r="A2130" t="s">
        <v>1683</v>
      </c>
      <c r="B2130" t="s">
        <v>126</v>
      </c>
    </row>
    <row r="2131" spans="1:2" x14ac:dyDescent="0.25">
      <c r="A2131" t="s">
        <v>1684</v>
      </c>
      <c r="B2131" t="s">
        <v>126</v>
      </c>
    </row>
    <row r="2132" spans="1:2" x14ac:dyDescent="0.25">
      <c r="A2132" t="s">
        <v>1685</v>
      </c>
      <c r="B2132" t="s">
        <v>126</v>
      </c>
    </row>
    <row r="2133" spans="1:2" x14ac:dyDescent="0.25">
      <c r="A2133" t="s">
        <v>1686</v>
      </c>
      <c r="B2133" t="s">
        <v>126</v>
      </c>
    </row>
    <row r="2134" spans="1:2" x14ac:dyDescent="0.25">
      <c r="A2134" t="s">
        <v>1687</v>
      </c>
      <c r="B2134" t="s">
        <v>126</v>
      </c>
    </row>
    <row r="2135" spans="1:2" x14ac:dyDescent="0.25">
      <c r="A2135" t="s">
        <v>978</v>
      </c>
      <c r="B2135" t="s">
        <v>126</v>
      </c>
    </row>
    <row r="2136" spans="1:2" x14ac:dyDescent="0.25">
      <c r="A2136" t="s">
        <v>979</v>
      </c>
      <c r="B2136" t="s">
        <v>126</v>
      </c>
    </row>
    <row r="2137" spans="1:2" x14ac:dyDescent="0.25">
      <c r="A2137" t="s">
        <v>1688</v>
      </c>
      <c r="B2137" t="s">
        <v>126</v>
      </c>
    </row>
    <row r="2138" spans="1:2" x14ac:dyDescent="0.25">
      <c r="A2138" t="s">
        <v>980</v>
      </c>
      <c r="B2138" t="s">
        <v>126</v>
      </c>
    </row>
    <row r="2139" spans="1:2" x14ac:dyDescent="0.25">
      <c r="A2139" t="s">
        <v>1689</v>
      </c>
      <c r="B2139" t="s">
        <v>126</v>
      </c>
    </row>
    <row r="2140" spans="1:2" x14ac:dyDescent="0.25">
      <c r="A2140" t="s">
        <v>981</v>
      </c>
      <c r="B2140" t="s">
        <v>126</v>
      </c>
    </row>
    <row r="2141" spans="1:2" x14ac:dyDescent="0.25">
      <c r="A2141" t="s">
        <v>1690</v>
      </c>
      <c r="B2141" t="s">
        <v>126</v>
      </c>
    </row>
    <row r="2142" spans="1:2" x14ac:dyDescent="0.25">
      <c r="A2142" t="s">
        <v>1691</v>
      </c>
      <c r="B2142" t="s">
        <v>126</v>
      </c>
    </row>
    <row r="2143" spans="1:2" x14ac:dyDescent="0.25">
      <c r="A2143" t="s">
        <v>1098</v>
      </c>
      <c r="B2143" t="s">
        <v>126</v>
      </c>
    </row>
    <row r="2144" spans="1:2" x14ac:dyDescent="0.25">
      <c r="A2144" t="s">
        <v>1692</v>
      </c>
      <c r="B2144" t="s">
        <v>126</v>
      </c>
    </row>
    <row r="2145" spans="1:2" x14ac:dyDescent="0.25">
      <c r="A2145" t="s">
        <v>1693</v>
      </c>
      <c r="B2145" t="s">
        <v>126</v>
      </c>
    </row>
    <row r="2146" spans="1:2" x14ac:dyDescent="0.25">
      <c r="A2146" t="s">
        <v>1694</v>
      </c>
      <c r="B2146" t="s">
        <v>126</v>
      </c>
    </row>
    <row r="2147" spans="1:2" x14ac:dyDescent="0.25">
      <c r="A2147" t="s">
        <v>1695</v>
      </c>
      <c r="B2147" t="s">
        <v>126</v>
      </c>
    </row>
    <row r="2148" spans="1:2" x14ac:dyDescent="0.25">
      <c r="A2148" t="s">
        <v>1696</v>
      </c>
      <c r="B2148" t="s">
        <v>126</v>
      </c>
    </row>
    <row r="2149" spans="1:2" x14ac:dyDescent="0.25">
      <c r="A2149" t="s">
        <v>1697</v>
      </c>
      <c r="B2149" t="s">
        <v>126</v>
      </c>
    </row>
    <row r="2150" spans="1:2" x14ac:dyDescent="0.25">
      <c r="A2150" t="s">
        <v>1698</v>
      </c>
      <c r="B2150" t="s">
        <v>126</v>
      </c>
    </row>
    <row r="2151" spans="1:2" x14ac:dyDescent="0.25">
      <c r="A2151" t="s">
        <v>1699</v>
      </c>
      <c r="B2151" t="s">
        <v>126</v>
      </c>
    </row>
    <row r="2152" spans="1:2" x14ac:dyDescent="0.25">
      <c r="A2152" t="s">
        <v>1700</v>
      </c>
      <c r="B2152" t="s">
        <v>126</v>
      </c>
    </row>
    <row r="2153" spans="1:2" x14ac:dyDescent="0.25">
      <c r="A2153" t="s">
        <v>1701</v>
      </c>
      <c r="B2153" t="s">
        <v>126</v>
      </c>
    </row>
    <row r="2154" spans="1:2" x14ac:dyDescent="0.25">
      <c r="A2154" t="s">
        <v>1702</v>
      </c>
      <c r="B2154" t="s">
        <v>126</v>
      </c>
    </row>
    <row r="2155" spans="1:2" x14ac:dyDescent="0.25">
      <c r="A2155" t="s">
        <v>1703</v>
      </c>
      <c r="B2155" t="s">
        <v>126</v>
      </c>
    </row>
    <row r="2156" spans="1:2" x14ac:dyDescent="0.25">
      <c r="A2156" t="s">
        <v>1704</v>
      </c>
      <c r="B2156" t="s">
        <v>126</v>
      </c>
    </row>
    <row r="2157" spans="1:2" x14ac:dyDescent="0.25">
      <c r="A2157" t="s">
        <v>1705</v>
      </c>
      <c r="B2157" t="s">
        <v>126</v>
      </c>
    </row>
    <row r="2158" spans="1:2" x14ac:dyDescent="0.25">
      <c r="A2158" t="s">
        <v>1706</v>
      </c>
      <c r="B2158" t="s">
        <v>126</v>
      </c>
    </row>
    <row r="2159" spans="1:2" x14ac:dyDescent="0.25">
      <c r="A2159" t="s">
        <v>1707</v>
      </c>
      <c r="B2159" t="s">
        <v>126</v>
      </c>
    </row>
    <row r="2160" spans="1:2" x14ac:dyDescent="0.25">
      <c r="A2160" t="s">
        <v>1708</v>
      </c>
      <c r="B2160" t="s">
        <v>126</v>
      </c>
    </row>
    <row r="2161" spans="1:2" x14ac:dyDescent="0.25">
      <c r="A2161" t="s">
        <v>1047</v>
      </c>
      <c r="B2161" t="s">
        <v>126</v>
      </c>
    </row>
    <row r="2162" spans="1:2" x14ac:dyDescent="0.25">
      <c r="A2162" t="s">
        <v>1709</v>
      </c>
      <c r="B2162" t="s">
        <v>126</v>
      </c>
    </row>
    <row r="2163" spans="1:2" x14ac:dyDescent="0.25">
      <c r="A2163" t="s">
        <v>1051</v>
      </c>
      <c r="B2163" t="s">
        <v>126</v>
      </c>
    </row>
    <row r="2164" spans="1:2" x14ac:dyDescent="0.25">
      <c r="A2164" t="s">
        <v>1052</v>
      </c>
      <c r="B2164" t="s">
        <v>126</v>
      </c>
    </row>
    <row r="2165" spans="1:2" x14ac:dyDescent="0.25">
      <c r="A2165" t="s">
        <v>1710</v>
      </c>
      <c r="B2165" t="s">
        <v>126</v>
      </c>
    </row>
    <row r="2166" spans="1:2" x14ac:dyDescent="0.25">
      <c r="A2166" t="s">
        <v>1053</v>
      </c>
      <c r="B2166" t="s">
        <v>126</v>
      </c>
    </row>
    <row r="2167" spans="1:2" x14ac:dyDescent="0.25">
      <c r="A2167" t="s">
        <v>1054</v>
      </c>
      <c r="B2167" t="s">
        <v>126</v>
      </c>
    </row>
    <row r="2168" spans="1:2" x14ac:dyDescent="0.25">
      <c r="A2168" t="s">
        <v>1055</v>
      </c>
      <c r="B2168" t="s">
        <v>126</v>
      </c>
    </row>
    <row r="2169" spans="1:2" x14ac:dyDescent="0.25">
      <c r="A2169" t="s">
        <v>959</v>
      </c>
      <c r="B2169" t="s">
        <v>126</v>
      </c>
    </row>
    <row r="2170" spans="1:2" x14ac:dyDescent="0.25">
      <c r="A2170" t="s">
        <v>960</v>
      </c>
      <c r="B2170" t="s">
        <v>126</v>
      </c>
    </row>
    <row r="2171" spans="1:2" x14ac:dyDescent="0.25">
      <c r="A2171" t="s">
        <v>1711</v>
      </c>
      <c r="B2171" t="s">
        <v>126</v>
      </c>
    </row>
    <row r="2172" spans="1:2" x14ac:dyDescent="0.25">
      <c r="A2172" t="s">
        <v>1712</v>
      </c>
      <c r="B2172" t="s">
        <v>126</v>
      </c>
    </row>
    <row r="2173" spans="1:2" x14ac:dyDescent="0.25">
      <c r="A2173" t="s">
        <v>964</v>
      </c>
      <c r="B2173" t="s">
        <v>126</v>
      </c>
    </row>
    <row r="2174" spans="1:2" x14ac:dyDescent="0.25">
      <c r="A2174" t="s">
        <v>984</v>
      </c>
      <c r="B2174" t="s">
        <v>126</v>
      </c>
    </row>
    <row r="2175" spans="1:2" x14ac:dyDescent="0.25">
      <c r="A2175" t="s">
        <v>990</v>
      </c>
      <c r="B2175" t="s">
        <v>126</v>
      </c>
    </row>
    <row r="2176" spans="1:2" x14ac:dyDescent="0.25">
      <c r="A2176" t="s">
        <v>985</v>
      </c>
      <c r="B2176" t="s">
        <v>126</v>
      </c>
    </row>
    <row r="2177" spans="1:2" x14ac:dyDescent="0.25">
      <c r="A2177" t="s">
        <v>986</v>
      </c>
      <c r="B2177" t="s">
        <v>126</v>
      </c>
    </row>
    <row r="2178" spans="1:2" x14ac:dyDescent="0.25">
      <c r="A2178" t="s">
        <v>1713</v>
      </c>
      <c r="B2178" t="s">
        <v>126</v>
      </c>
    </row>
    <row r="2179" spans="1:2" x14ac:dyDescent="0.25">
      <c r="A2179" t="s">
        <v>1714</v>
      </c>
      <c r="B2179" t="s">
        <v>126</v>
      </c>
    </row>
    <row r="2180" spans="1:2" x14ac:dyDescent="0.25">
      <c r="A2180" t="s">
        <v>989</v>
      </c>
      <c r="B2180" t="s">
        <v>126</v>
      </c>
    </row>
    <row r="2181" spans="1:2" x14ac:dyDescent="0.25">
      <c r="A2181" t="s">
        <v>993</v>
      </c>
      <c r="B2181" t="s">
        <v>126</v>
      </c>
    </row>
    <row r="2182" spans="1:2" x14ac:dyDescent="0.25">
      <c r="A2182" t="s">
        <v>1029</v>
      </c>
      <c r="B2182" t="s">
        <v>126</v>
      </c>
    </row>
    <row r="2183" spans="1:2" x14ac:dyDescent="0.25">
      <c r="A2183" t="s">
        <v>1030</v>
      </c>
      <c r="B2183" t="s">
        <v>126</v>
      </c>
    </row>
    <row r="2184" spans="1:2" x14ac:dyDescent="0.25">
      <c r="A2184" t="s">
        <v>1031</v>
      </c>
      <c r="B2184" t="s">
        <v>126</v>
      </c>
    </row>
    <row r="2185" spans="1:2" x14ac:dyDescent="0.25">
      <c r="A2185" t="s">
        <v>1032</v>
      </c>
      <c r="B2185" t="s">
        <v>126</v>
      </c>
    </row>
    <row r="2186" spans="1:2" x14ac:dyDescent="0.25">
      <c r="A2186" t="s">
        <v>1715</v>
      </c>
      <c r="B2186" t="s">
        <v>126</v>
      </c>
    </row>
    <row r="2187" spans="1:2" x14ac:dyDescent="0.25">
      <c r="A2187" t="s">
        <v>1033</v>
      </c>
      <c r="B2187" t="s">
        <v>126</v>
      </c>
    </row>
    <row r="2188" spans="1:2" x14ac:dyDescent="0.25">
      <c r="A2188" t="s">
        <v>1034</v>
      </c>
      <c r="B2188" t="s">
        <v>126</v>
      </c>
    </row>
    <row r="2189" spans="1:2" x14ac:dyDescent="0.25">
      <c r="A2189" t="s">
        <v>1035</v>
      </c>
      <c r="B2189" t="s">
        <v>126</v>
      </c>
    </row>
    <row r="2190" spans="1:2" x14ac:dyDescent="0.25">
      <c r="A2190" t="s">
        <v>1036</v>
      </c>
      <c r="B2190" t="s">
        <v>126</v>
      </c>
    </row>
    <row r="2191" spans="1:2" x14ac:dyDescent="0.25">
      <c r="A2191" t="s">
        <v>1037</v>
      </c>
      <c r="B2191" t="s">
        <v>126</v>
      </c>
    </row>
    <row r="2192" spans="1:2" x14ac:dyDescent="0.25">
      <c r="A2192" t="s">
        <v>1716</v>
      </c>
      <c r="B2192" t="s">
        <v>126</v>
      </c>
    </row>
    <row r="2193" spans="1:2" x14ac:dyDescent="0.25">
      <c r="A2193" t="s">
        <v>1041</v>
      </c>
      <c r="B2193" t="s">
        <v>126</v>
      </c>
    </row>
    <row r="2194" spans="1:2" x14ac:dyDescent="0.25">
      <c r="A2194" t="s">
        <v>1042</v>
      </c>
      <c r="B2194" t="s">
        <v>126</v>
      </c>
    </row>
    <row r="2195" spans="1:2" x14ac:dyDescent="0.25">
      <c r="A2195" t="s">
        <v>1043</v>
      </c>
      <c r="B2195" t="s">
        <v>126</v>
      </c>
    </row>
    <row r="2196" spans="1:2" x14ac:dyDescent="0.25">
      <c r="A2196" t="s">
        <v>1717</v>
      </c>
      <c r="B2196" t="s">
        <v>126</v>
      </c>
    </row>
    <row r="2197" spans="1:2" x14ac:dyDescent="0.25">
      <c r="A2197" t="s">
        <v>1044</v>
      </c>
      <c r="B2197" t="s">
        <v>126</v>
      </c>
    </row>
    <row r="2198" spans="1:2" x14ac:dyDescent="0.25">
      <c r="A2198" t="s">
        <v>1045</v>
      </c>
      <c r="B2198" t="s">
        <v>126</v>
      </c>
    </row>
    <row r="2199" spans="1:2" x14ac:dyDescent="0.25">
      <c r="A2199" t="s">
        <v>1046</v>
      </c>
      <c r="B2199" t="s">
        <v>126</v>
      </c>
    </row>
    <row r="2200" spans="1:2" x14ac:dyDescent="0.25">
      <c r="A2200" t="s">
        <v>1718</v>
      </c>
      <c r="B2200" t="s">
        <v>126</v>
      </c>
    </row>
    <row r="2201" spans="1:2" x14ac:dyDescent="0.25">
      <c r="A2201" t="s">
        <v>1719</v>
      </c>
      <c r="B2201" t="s">
        <v>126</v>
      </c>
    </row>
    <row r="2202" spans="1:2" x14ac:dyDescent="0.25">
      <c r="A2202" t="s">
        <v>1720</v>
      </c>
      <c r="B2202" t="s">
        <v>126</v>
      </c>
    </row>
    <row r="2203" spans="1:2" x14ac:dyDescent="0.25">
      <c r="A2203" t="s">
        <v>1721</v>
      </c>
      <c r="B2203" t="s">
        <v>126</v>
      </c>
    </row>
    <row r="2204" spans="1:2" x14ac:dyDescent="0.25">
      <c r="A2204" t="s">
        <v>1722</v>
      </c>
      <c r="B2204" t="s">
        <v>126</v>
      </c>
    </row>
    <row r="2205" spans="1:2" x14ac:dyDescent="0.25">
      <c r="A2205" t="s">
        <v>1723</v>
      </c>
      <c r="B2205" t="s">
        <v>126</v>
      </c>
    </row>
    <row r="2206" spans="1:2" x14ac:dyDescent="0.25">
      <c r="A2206" t="s">
        <v>1724</v>
      </c>
      <c r="B2206" t="s">
        <v>126</v>
      </c>
    </row>
    <row r="2207" spans="1:2" x14ac:dyDescent="0.25">
      <c r="A2207" t="s">
        <v>1725</v>
      </c>
      <c r="B2207" t="s">
        <v>126</v>
      </c>
    </row>
    <row r="2208" spans="1:2" x14ac:dyDescent="0.25">
      <c r="A2208" t="s">
        <v>1726</v>
      </c>
      <c r="B2208" t="s">
        <v>126</v>
      </c>
    </row>
    <row r="2209" spans="1:2" x14ac:dyDescent="0.25">
      <c r="A2209" t="s">
        <v>1727</v>
      </c>
      <c r="B2209" t="s">
        <v>126</v>
      </c>
    </row>
    <row r="2210" spans="1:2" x14ac:dyDescent="0.25">
      <c r="A2210" t="s">
        <v>1728</v>
      </c>
      <c r="B2210" t="s">
        <v>126</v>
      </c>
    </row>
    <row r="2211" spans="1:2" x14ac:dyDescent="0.25">
      <c r="A2211" t="s">
        <v>1729</v>
      </c>
      <c r="B2211" t="s">
        <v>126</v>
      </c>
    </row>
    <row r="2212" spans="1:2" x14ac:dyDescent="0.25">
      <c r="A2212" t="s">
        <v>1730</v>
      </c>
      <c r="B2212" t="s">
        <v>126</v>
      </c>
    </row>
    <row r="2213" spans="1:2" x14ac:dyDescent="0.25">
      <c r="A2213" t="s">
        <v>829</v>
      </c>
      <c r="B2213" t="s">
        <v>126</v>
      </c>
    </row>
    <row r="2214" spans="1:2" x14ac:dyDescent="0.25">
      <c r="A2214" t="s">
        <v>830</v>
      </c>
      <c r="B2214" t="s">
        <v>126</v>
      </c>
    </row>
    <row r="2215" spans="1:2" x14ac:dyDescent="0.25">
      <c r="A2215" t="s">
        <v>831</v>
      </c>
      <c r="B2215" t="s">
        <v>126</v>
      </c>
    </row>
    <row r="2216" spans="1:2" x14ac:dyDescent="0.25">
      <c r="A2216" t="s">
        <v>832</v>
      </c>
      <c r="B2216" t="s">
        <v>126</v>
      </c>
    </row>
    <row r="2217" spans="1:2" x14ac:dyDescent="0.25">
      <c r="A2217" t="s">
        <v>1731</v>
      </c>
      <c r="B2217" t="s">
        <v>126</v>
      </c>
    </row>
    <row r="2218" spans="1:2" x14ac:dyDescent="0.25">
      <c r="A2218" t="s">
        <v>833</v>
      </c>
      <c r="B2218" t="s">
        <v>126</v>
      </c>
    </row>
    <row r="2219" spans="1:2" x14ac:dyDescent="0.25">
      <c r="A2219" t="s">
        <v>834</v>
      </c>
      <c r="B2219" t="s">
        <v>126</v>
      </c>
    </row>
    <row r="2220" spans="1:2" x14ac:dyDescent="0.25">
      <c r="A2220" t="s">
        <v>835</v>
      </c>
      <c r="B2220" t="s">
        <v>126</v>
      </c>
    </row>
    <row r="2221" spans="1:2" x14ac:dyDescent="0.25">
      <c r="A2221" t="s">
        <v>836</v>
      </c>
      <c r="B2221" t="s">
        <v>126</v>
      </c>
    </row>
    <row r="2222" spans="1:2" x14ac:dyDescent="0.25">
      <c r="A2222" t="s">
        <v>1732</v>
      </c>
      <c r="B2222" t="s">
        <v>126</v>
      </c>
    </row>
    <row r="2223" spans="1:2" x14ac:dyDescent="0.25">
      <c r="A2223" t="s">
        <v>841</v>
      </c>
      <c r="B2223" t="s">
        <v>126</v>
      </c>
    </row>
    <row r="2224" spans="1:2" x14ac:dyDescent="0.25">
      <c r="A2224" t="s">
        <v>842</v>
      </c>
      <c r="B2224" t="s">
        <v>126</v>
      </c>
    </row>
    <row r="2225" spans="1:2" x14ac:dyDescent="0.25">
      <c r="A2225" t="s">
        <v>843</v>
      </c>
      <c r="B2225" t="s">
        <v>126</v>
      </c>
    </row>
    <row r="2226" spans="1:2" x14ac:dyDescent="0.25">
      <c r="A2226" t="s">
        <v>837</v>
      </c>
      <c r="B2226" t="s">
        <v>126</v>
      </c>
    </row>
    <row r="2227" spans="1:2" x14ac:dyDescent="0.25">
      <c r="A2227" t="s">
        <v>852</v>
      </c>
      <c r="B2227" t="s">
        <v>126</v>
      </c>
    </row>
    <row r="2228" spans="1:2" x14ac:dyDescent="0.25">
      <c r="A2228" t="s">
        <v>1733</v>
      </c>
      <c r="B2228" t="s">
        <v>126</v>
      </c>
    </row>
    <row r="2229" spans="1:2" x14ac:dyDescent="0.25">
      <c r="A2229" t="s">
        <v>853</v>
      </c>
      <c r="B2229" t="s">
        <v>126</v>
      </c>
    </row>
    <row r="2230" spans="1:2" x14ac:dyDescent="0.25">
      <c r="A2230" t="s">
        <v>854</v>
      </c>
      <c r="B2230" t="s">
        <v>126</v>
      </c>
    </row>
    <row r="2231" spans="1:2" x14ac:dyDescent="0.25">
      <c r="A2231" t="s">
        <v>855</v>
      </c>
      <c r="B2231" t="s">
        <v>126</v>
      </c>
    </row>
    <row r="2232" spans="1:2" x14ac:dyDescent="0.25">
      <c r="A2232" t="s">
        <v>1734</v>
      </c>
      <c r="B2232" t="s">
        <v>126</v>
      </c>
    </row>
    <row r="2233" spans="1:2" x14ac:dyDescent="0.25">
      <c r="A2233" t="s">
        <v>859</v>
      </c>
      <c r="B2233" t="s">
        <v>126</v>
      </c>
    </row>
    <row r="2234" spans="1:2" x14ac:dyDescent="0.25">
      <c r="A2234" t="s">
        <v>1735</v>
      </c>
      <c r="B2234" t="s">
        <v>126</v>
      </c>
    </row>
    <row r="2235" spans="1:2" x14ac:dyDescent="0.25">
      <c r="A2235" t="s">
        <v>860</v>
      </c>
      <c r="B2235" t="s">
        <v>126</v>
      </c>
    </row>
    <row r="2236" spans="1:2" x14ac:dyDescent="0.25">
      <c r="A2236" t="s">
        <v>861</v>
      </c>
      <c r="B2236" t="s">
        <v>126</v>
      </c>
    </row>
    <row r="2237" spans="1:2" x14ac:dyDescent="0.25">
      <c r="A2237" t="s">
        <v>1736</v>
      </c>
      <c r="B2237" t="s">
        <v>126</v>
      </c>
    </row>
    <row r="2238" spans="1:2" x14ac:dyDescent="0.25">
      <c r="A2238" t="s">
        <v>1737</v>
      </c>
      <c r="B2238" t="s">
        <v>126</v>
      </c>
    </row>
    <row r="2239" spans="1:2" x14ac:dyDescent="0.25">
      <c r="A2239" t="s">
        <v>865</v>
      </c>
      <c r="B2239" t="s">
        <v>126</v>
      </c>
    </row>
    <row r="2240" spans="1:2" x14ac:dyDescent="0.25">
      <c r="A2240" t="s">
        <v>1738</v>
      </c>
      <c r="B2240" t="s">
        <v>126</v>
      </c>
    </row>
    <row r="2241" spans="1:2" x14ac:dyDescent="0.25">
      <c r="A2241" t="s">
        <v>1739</v>
      </c>
      <c r="B2241" t="s">
        <v>126</v>
      </c>
    </row>
    <row r="2242" spans="1:2" x14ac:dyDescent="0.25">
      <c r="A2242" t="s">
        <v>1740</v>
      </c>
      <c r="B2242" t="s">
        <v>126</v>
      </c>
    </row>
    <row r="2243" spans="1:2" x14ac:dyDescent="0.25">
      <c r="A2243" t="s">
        <v>1741</v>
      </c>
      <c r="B2243" t="s">
        <v>126</v>
      </c>
    </row>
    <row r="2244" spans="1:2" x14ac:dyDescent="0.25">
      <c r="A2244" t="s">
        <v>1742</v>
      </c>
      <c r="B2244" t="s">
        <v>126</v>
      </c>
    </row>
    <row r="2245" spans="1:2" x14ac:dyDescent="0.25">
      <c r="A2245" t="s">
        <v>1743</v>
      </c>
      <c r="B2245" t="s">
        <v>126</v>
      </c>
    </row>
    <row r="2246" spans="1:2" x14ac:dyDescent="0.25">
      <c r="A2246" t="s">
        <v>1744</v>
      </c>
      <c r="B2246" t="s">
        <v>126</v>
      </c>
    </row>
    <row r="2247" spans="1:2" x14ac:dyDescent="0.25">
      <c r="A2247" t="s">
        <v>1745</v>
      </c>
      <c r="B2247" t="s">
        <v>126</v>
      </c>
    </row>
    <row r="2248" spans="1:2" x14ac:dyDescent="0.25">
      <c r="A2248" t="s">
        <v>1746</v>
      </c>
      <c r="B2248" t="s">
        <v>126</v>
      </c>
    </row>
    <row r="2249" spans="1:2" x14ac:dyDescent="0.25">
      <c r="A2249" t="s">
        <v>879</v>
      </c>
      <c r="B2249" t="s">
        <v>126</v>
      </c>
    </row>
    <row r="2250" spans="1:2" x14ac:dyDescent="0.25">
      <c r="A2250" t="s">
        <v>880</v>
      </c>
      <c r="B2250" t="s">
        <v>126</v>
      </c>
    </row>
    <row r="2251" spans="1:2" x14ac:dyDescent="0.25">
      <c r="A2251" t="s">
        <v>881</v>
      </c>
      <c r="B2251" t="s">
        <v>126</v>
      </c>
    </row>
    <row r="2252" spans="1:2" x14ac:dyDescent="0.25">
      <c r="A2252" t="s">
        <v>882</v>
      </c>
      <c r="B2252" t="s">
        <v>126</v>
      </c>
    </row>
    <row r="2253" spans="1:2" x14ac:dyDescent="0.25">
      <c r="A2253" t="s">
        <v>1747</v>
      </c>
      <c r="B2253" t="s">
        <v>126</v>
      </c>
    </row>
    <row r="2254" spans="1:2" x14ac:dyDescent="0.25">
      <c r="A2254" t="s">
        <v>885</v>
      </c>
      <c r="B2254" t="s">
        <v>126</v>
      </c>
    </row>
    <row r="2255" spans="1:2" x14ac:dyDescent="0.25">
      <c r="A2255" t="s">
        <v>886</v>
      </c>
      <c r="B2255" t="s">
        <v>126</v>
      </c>
    </row>
    <row r="2256" spans="1:2" x14ac:dyDescent="0.25">
      <c r="A2256" t="s">
        <v>887</v>
      </c>
      <c r="B2256" t="s">
        <v>126</v>
      </c>
    </row>
    <row r="2257" spans="1:2" x14ac:dyDescent="0.25">
      <c r="A2257" t="s">
        <v>1748</v>
      </c>
      <c r="B2257" t="s">
        <v>126</v>
      </c>
    </row>
    <row r="2258" spans="1:2" x14ac:dyDescent="0.25">
      <c r="A2258" t="s">
        <v>844</v>
      </c>
      <c r="B2258" t="s">
        <v>126</v>
      </c>
    </row>
    <row r="2259" spans="1:2" x14ac:dyDescent="0.25">
      <c r="A2259" t="s">
        <v>845</v>
      </c>
      <c r="B2259" t="s">
        <v>126</v>
      </c>
    </row>
    <row r="2260" spans="1:2" x14ac:dyDescent="0.25">
      <c r="A2260" t="s">
        <v>846</v>
      </c>
      <c r="B2260" t="s">
        <v>126</v>
      </c>
    </row>
    <row r="2261" spans="1:2" x14ac:dyDescent="0.25">
      <c r="A2261" t="s">
        <v>847</v>
      </c>
      <c r="B2261" t="s">
        <v>126</v>
      </c>
    </row>
    <row r="2262" spans="1:2" x14ac:dyDescent="0.25">
      <c r="A2262" t="s">
        <v>1749</v>
      </c>
      <c r="B2262" t="s">
        <v>126</v>
      </c>
    </row>
    <row r="2263" spans="1:2" x14ac:dyDescent="0.25">
      <c r="A2263" t="s">
        <v>851</v>
      </c>
      <c r="B2263" t="s">
        <v>126</v>
      </c>
    </row>
    <row r="2264" spans="1:2" x14ac:dyDescent="0.25">
      <c r="A2264" t="s">
        <v>1750</v>
      </c>
      <c r="B2264" t="s">
        <v>126</v>
      </c>
    </row>
    <row r="2265" spans="1:2" x14ac:dyDescent="0.25">
      <c r="A2265" t="s">
        <v>890</v>
      </c>
      <c r="B2265" t="s">
        <v>126</v>
      </c>
    </row>
    <row r="2266" spans="1:2" x14ac:dyDescent="0.25">
      <c r="A2266" t="s">
        <v>891</v>
      </c>
      <c r="B2266" t="s">
        <v>126</v>
      </c>
    </row>
    <row r="2267" spans="1:2" x14ac:dyDescent="0.25">
      <c r="A2267" t="s">
        <v>1751</v>
      </c>
      <c r="B2267" t="s">
        <v>126</v>
      </c>
    </row>
    <row r="2268" spans="1:2" x14ac:dyDescent="0.25">
      <c r="A2268" t="s">
        <v>1752</v>
      </c>
      <c r="B2268" t="s">
        <v>126</v>
      </c>
    </row>
    <row r="2269" spans="1:2" x14ac:dyDescent="0.25">
      <c r="A2269" t="s">
        <v>1004</v>
      </c>
      <c r="B2269" t="s">
        <v>126</v>
      </c>
    </row>
    <row r="2270" spans="1:2" x14ac:dyDescent="0.25">
      <c r="A2270" t="s">
        <v>894</v>
      </c>
      <c r="B2270" t="s">
        <v>126</v>
      </c>
    </row>
  </sheetData>
  <autoFilter ref="A1:B227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BK Info</vt:lpstr>
      <vt:lpstr>BR RoomType</vt:lpstr>
      <vt:lpstr>Rm Table</vt:lpstr>
      <vt:lpstr>Event Table</vt:lpstr>
      <vt:lpstr>VM Room</vt:lpstr>
      <vt:lpstr>PA Room</vt:lpstr>
      <vt:lpstr>CM Room</vt:lpstr>
      <vt:lpstr>HI Room</vt:lpstr>
      <vt:lpstr>Events</vt:lpstr>
      <vt:lpstr>CommentPad</vt:lpstr>
      <vt:lpstr>Sheraton</vt:lpstr>
      <vt:lpstr>Property</vt:lpstr>
    </vt:vector>
  </TitlesOfParts>
  <Company>Sands China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Leong, Patrick</dc:creator>
  <cp:lastModifiedBy>Leong, Patrick</cp:lastModifiedBy>
  <dcterms:created xsi:type="dcterms:W3CDTF">2018-08-27T04:15:16Z</dcterms:created>
  <dcterms:modified xsi:type="dcterms:W3CDTF">2018-12-10T06:39:14Z</dcterms:modified>
</cp:coreProperties>
</file>